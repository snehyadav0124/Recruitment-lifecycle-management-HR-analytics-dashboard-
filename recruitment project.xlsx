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Sheet1!$K$3:$K$83</definedName>
    <definedName name="_xlnm._FilterDatabase" localSheetId="1" hidden="1">Sheet2!$C$3:$C$83</definedName>
    <definedName name="_xlnm._FilterDatabase" localSheetId="2" hidden="1">Sheet3!$J$3:$J$69</definedName>
    <definedName name="_xlnm._FilterDatabase" localSheetId="3" hidden="1">Sheet4!$F$3:$F$27</definedName>
  </definedNames>
  <calcPr calcId="124519"/>
</workbook>
</file>

<file path=xl/calcChain.xml><?xml version="1.0" encoding="utf-8"?>
<calcChain xmlns="http://schemas.openxmlformats.org/spreadsheetml/2006/main">
  <c r="C15" i="6"/>
  <c r="K85" i="1"/>
</calcChain>
</file>

<file path=xl/sharedStrings.xml><?xml version="1.0" encoding="utf-8"?>
<sst xmlns="http://schemas.openxmlformats.org/spreadsheetml/2006/main" count="1934" uniqueCount="341">
  <si>
    <t>Aryan Yadav</t>
  </si>
  <si>
    <t>Aditya Bansal</t>
  </si>
  <si>
    <t>Yash Mehta</t>
  </si>
  <si>
    <t>Ananya Malik</t>
  </si>
  <si>
    <t>Rohan Patel</t>
  </si>
  <si>
    <t>Priya Sharma</t>
  </si>
  <si>
    <t>Naina Sharma</t>
  </si>
  <si>
    <t>Sneha Verma</t>
  </si>
  <si>
    <t>Aditya Malik</t>
  </si>
  <si>
    <t>Arjun Mehta</t>
  </si>
  <si>
    <t>Priya Patel</t>
  </si>
  <si>
    <t>Meera Bansal</t>
  </si>
  <si>
    <t>Rahul Khan</t>
  </si>
  <si>
    <t>Saanvi Verma</t>
  </si>
  <si>
    <t>Kabir Verma</t>
  </si>
  <si>
    <t>Aryan Khan</t>
  </si>
  <si>
    <t>Karan Verma</t>
  </si>
  <si>
    <t>Vivaan Sharma</t>
  </si>
  <si>
    <t>Ananya Khan</t>
  </si>
  <si>
    <t>Kabir Malik</t>
  </si>
  <si>
    <t>Rohan Malik</t>
  </si>
  <si>
    <t>Yash Khan</t>
  </si>
  <si>
    <t>Arjun Sharma</t>
  </si>
  <si>
    <t>Rahul Sharma</t>
  </si>
  <si>
    <t>Rahul Mehta</t>
  </si>
  <si>
    <t>Kabir Sharma</t>
  </si>
  <si>
    <t>Saanvi Khan</t>
  </si>
  <si>
    <t>Yash Singh</t>
  </si>
  <si>
    <t>Isha Sharma</t>
  </si>
  <si>
    <t>Aryan Mehta</t>
  </si>
  <si>
    <t>Neha Bansal</t>
  </si>
  <si>
    <t>Sneha Mehta</t>
  </si>
  <si>
    <t>Ananya Patel</t>
  </si>
  <si>
    <t>Aryan Gupta</t>
  </si>
  <si>
    <t>Saanvi Bansal</t>
  </si>
  <si>
    <t>Arjun Singh</t>
  </si>
  <si>
    <t>Naina Gupta</t>
  </si>
  <si>
    <t>Neha Gupta</t>
  </si>
  <si>
    <t>Neha Malik</t>
  </si>
  <si>
    <t>Sneha Bansal</t>
  </si>
  <si>
    <t>Aryan Patel</t>
  </si>
  <si>
    <t>Riya Sharma</t>
  </si>
  <si>
    <t>Ananya Yadav</t>
  </si>
  <si>
    <t>Aarav Bansal</t>
  </si>
  <si>
    <t>Neha Khan</t>
  </si>
  <si>
    <t>Naina Yadav</t>
  </si>
  <si>
    <t>Pooja Singh</t>
  </si>
  <si>
    <t>Rohan Gupta</t>
  </si>
  <si>
    <t>Pooja Mehta</t>
  </si>
  <si>
    <t>Saanvi Mehta</t>
  </si>
  <si>
    <t>Isha Bansal</t>
  </si>
  <si>
    <t>Arjun Verma</t>
  </si>
  <si>
    <t>Arjun Yadav</t>
  </si>
  <si>
    <t>Aditya Khan</t>
  </si>
  <si>
    <t>Isha Gupta</t>
  </si>
  <si>
    <t>Aarav Malik</t>
  </si>
  <si>
    <t>Saanvi Patel</t>
  </si>
  <si>
    <t>Priya Khan</t>
  </si>
  <si>
    <t>Yash Sharma</t>
  </si>
  <si>
    <t>Priya Gupta</t>
  </si>
  <si>
    <t>Karan Mehta</t>
  </si>
  <si>
    <t>Rohan Khan</t>
  </si>
  <si>
    <t>Yash Malik</t>
  </si>
  <si>
    <t>Karan Patel</t>
  </si>
  <si>
    <t>Naina Mehta</t>
  </si>
  <si>
    <t>Pooja Yadav</t>
  </si>
  <si>
    <t>CONTACT NO</t>
  </si>
  <si>
    <t>CANDIDATE ID</t>
  </si>
  <si>
    <t>FULL NAME</t>
  </si>
  <si>
    <t>AGE</t>
  </si>
  <si>
    <t>GENDER</t>
  </si>
  <si>
    <t>LOCATION</t>
  </si>
  <si>
    <t>EMAIL ID</t>
  </si>
  <si>
    <t>SOURCE OF APPLICATION</t>
  </si>
  <si>
    <t>QUALIFICATION</t>
  </si>
  <si>
    <t>SKILLS</t>
  </si>
  <si>
    <t>Hisar</t>
  </si>
  <si>
    <t>Panipat</t>
  </si>
  <si>
    <t>Delhi</t>
  </si>
  <si>
    <t>Chandigarh</t>
  </si>
  <si>
    <t>Yamunanagar</t>
  </si>
  <si>
    <t>Kurukshetra</t>
  </si>
  <si>
    <t>Ambala</t>
  </si>
  <si>
    <t>Gurugram</t>
  </si>
  <si>
    <t>Data Analyst</t>
  </si>
  <si>
    <t>Sales Associate</t>
  </si>
  <si>
    <t>Recruitment Executive</t>
  </si>
  <si>
    <t>Admin Executive</t>
  </si>
  <si>
    <t>HR Intern</t>
  </si>
  <si>
    <t>HR Coordination,MS Office</t>
  </si>
  <si>
    <t>Analytics,Reporting</t>
  </si>
  <si>
    <t>Recruitment,Screening</t>
  </si>
  <si>
    <t>Communication,Teamwork</t>
  </si>
  <si>
    <t>Excel,Communication</t>
  </si>
  <si>
    <t>Sourcing,LinkedIn</t>
  </si>
  <si>
    <t>Sales,CRM</t>
  </si>
  <si>
    <t>Data Entry,Excel</t>
  </si>
  <si>
    <t>B.Tech</t>
  </si>
  <si>
    <t>B.Com</t>
  </si>
  <si>
    <t>MBA</t>
  </si>
  <si>
    <t>M.Com</t>
  </si>
  <si>
    <t>BBA</t>
  </si>
  <si>
    <t>BA</t>
  </si>
  <si>
    <t>aryanyadavgmail.com</t>
  </si>
  <si>
    <t>adityabansalgmail.com</t>
  </si>
  <si>
    <t>yashmehtagmail.com</t>
  </si>
  <si>
    <t>ananyamalikgmail.com</t>
  </si>
  <si>
    <t>rohanpatelgmail.com</t>
  </si>
  <si>
    <t>priyasharmagmail.com</t>
  </si>
  <si>
    <t>nainasharmagmail.com</t>
  </si>
  <si>
    <t>snehavermagmail.com</t>
  </si>
  <si>
    <t>adityamalikgmail.com</t>
  </si>
  <si>
    <t>arjunmehtagmail.com</t>
  </si>
  <si>
    <t>priyapatelgmail.com</t>
  </si>
  <si>
    <t>meerabansalgmail.com</t>
  </si>
  <si>
    <t>rahulkhangmail.com</t>
  </si>
  <si>
    <t>saanvivermagmail.com</t>
  </si>
  <si>
    <t>kabirvermagmail.com</t>
  </si>
  <si>
    <t>aryankhangmail.com</t>
  </si>
  <si>
    <t>karanvermagmail.com</t>
  </si>
  <si>
    <t>vivaansharmagmail.com</t>
  </si>
  <si>
    <t>ananyakhangmail.com</t>
  </si>
  <si>
    <t>kabirmalikgmail.com</t>
  </si>
  <si>
    <t>rohanmalikgmail.com</t>
  </si>
  <si>
    <t>yashkhangmail.com</t>
  </si>
  <si>
    <t>arjunsharmagmail.com</t>
  </si>
  <si>
    <t>rahulsharmagmail.com</t>
  </si>
  <si>
    <t>rahulmehtagmail.com</t>
  </si>
  <si>
    <t>kabirsharmagmail.com</t>
  </si>
  <si>
    <t>saanvikhangmail.com</t>
  </si>
  <si>
    <t>yashsinghgmail.com</t>
  </si>
  <si>
    <t>ishasharmagmail.com</t>
  </si>
  <si>
    <t>aryanmehtagmail.com</t>
  </si>
  <si>
    <t>nehabansalgmail.com</t>
  </si>
  <si>
    <t>snehamehtagmail.com</t>
  </si>
  <si>
    <t>ananyapatelgmail.com</t>
  </si>
  <si>
    <t>aryanguptagmail.com</t>
  </si>
  <si>
    <t>saanvibansalgmail.com</t>
  </si>
  <si>
    <t>arjunsinghgmail.com</t>
  </si>
  <si>
    <t>nainaguptagmail.com</t>
  </si>
  <si>
    <t>nehaguptagmail.com</t>
  </si>
  <si>
    <t>nehamalikgmail.com</t>
  </si>
  <si>
    <t>snehabansalgmail.com</t>
  </si>
  <si>
    <t>aryanpatelgmail.com</t>
  </si>
  <si>
    <t>riyasharmagmail.com</t>
  </si>
  <si>
    <t>ananyayadavgmail.com</t>
  </si>
  <si>
    <t>aaravbansalgmail.com</t>
  </si>
  <si>
    <t>nehakhangmail.com</t>
  </si>
  <si>
    <t>nainayadavgmail.com</t>
  </si>
  <si>
    <t>poojasinghgmail.com</t>
  </si>
  <si>
    <t>rohanguptagmail.com</t>
  </si>
  <si>
    <t>poojamehtagmail.com</t>
  </si>
  <si>
    <t>saanvimehtagmail.com</t>
  </si>
  <si>
    <t>ishabansalgmail.com</t>
  </si>
  <si>
    <t>arjunvermagmail.com</t>
  </si>
  <si>
    <t>arjunyadavgmail.com</t>
  </si>
  <si>
    <t>adityakhangmail.com</t>
  </si>
  <si>
    <t>ishaguptagmail.com</t>
  </si>
  <si>
    <t>aaravmalikgmail.com</t>
  </si>
  <si>
    <t>saanvipatelgmail.com</t>
  </si>
  <si>
    <t>priyakhangmail.com</t>
  </si>
  <si>
    <t>yashsharmagmail.com</t>
  </si>
  <si>
    <t>priyaguptagmail.com</t>
  </si>
  <si>
    <t>karanmehtagmail.com</t>
  </si>
  <si>
    <t>rohankhangmail.com</t>
  </si>
  <si>
    <t>yashmalikgmail.com</t>
  </si>
  <si>
    <t>karanpatelgmail.com</t>
  </si>
  <si>
    <t>nainamehtagmail.com</t>
  </si>
  <si>
    <t>poojayadavgmail.com</t>
  </si>
  <si>
    <t>CAND551</t>
  </si>
  <si>
    <t>CAND552</t>
  </si>
  <si>
    <t>CAND553</t>
  </si>
  <si>
    <t>CAND554</t>
  </si>
  <si>
    <t>CAND555</t>
  </si>
  <si>
    <t>CAND556</t>
  </si>
  <si>
    <t>CAND557</t>
  </si>
  <si>
    <t>CAND558</t>
  </si>
  <si>
    <t>CAND559</t>
  </si>
  <si>
    <t>CAND515</t>
  </si>
  <si>
    <t>CAND511</t>
  </si>
  <si>
    <t>CAND512</t>
  </si>
  <si>
    <t>CAND513</t>
  </si>
  <si>
    <t>CAND514</t>
  </si>
  <si>
    <t>CAND516</t>
  </si>
  <si>
    <t>CAND517</t>
  </si>
  <si>
    <t>CAND518</t>
  </si>
  <si>
    <t>CAND519</t>
  </si>
  <si>
    <t>CAND525</t>
  </si>
  <si>
    <t>CAND521</t>
  </si>
  <si>
    <t>CAND522</t>
  </si>
  <si>
    <t>CAND523</t>
  </si>
  <si>
    <t>CAND524</t>
  </si>
  <si>
    <t>CAND526</t>
  </si>
  <si>
    <t>CAND527</t>
  </si>
  <si>
    <t>CAND528</t>
  </si>
  <si>
    <t>CAND529</t>
  </si>
  <si>
    <t>CAND535</t>
  </si>
  <si>
    <t>CAND531</t>
  </si>
  <si>
    <t>CAND532</t>
  </si>
  <si>
    <t>CAND533</t>
  </si>
  <si>
    <t>CAND534</t>
  </si>
  <si>
    <t>CAND536</t>
  </si>
  <si>
    <t>CAND537</t>
  </si>
  <si>
    <t>CAND538</t>
  </si>
  <si>
    <t>CAND539</t>
  </si>
  <si>
    <t>CAND545</t>
  </si>
  <si>
    <t>CAND541</t>
  </si>
  <si>
    <t>CAND542</t>
  </si>
  <si>
    <t>CAND543</t>
  </si>
  <si>
    <t>CAND544</t>
  </si>
  <si>
    <t>CAND546</t>
  </si>
  <si>
    <t>CAND547</t>
  </si>
  <si>
    <t>CAND548</t>
  </si>
  <si>
    <t>CAND549</t>
  </si>
  <si>
    <t>CAND565</t>
  </si>
  <si>
    <t>CAND561</t>
  </si>
  <si>
    <t>CAND562</t>
  </si>
  <si>
    <t>CAND563</t>
  </si>
  <si>
    <t>CAND564</t>
  </si>
  <si>
    <t>CAND566</t>
  </si>
  <si>
    <t>CAND567</t>
  </si>
  <si>
    <t>CAND568</t>
  </si>
  <si>
    <t>CAND569</t>
  </si>
  <si>
    <t>CAND575</t>
  </si>
  <si>
    <t>CAND571</t>
  </si>
  <si>
    <t>CAND572</t>
  </si>
  <si>
    <t>CAND573</t>
  </si>
  <si>
    <t>CAND574</t>
  </si>
  <si>
    <t>CAND576</t>
  </si>
  <si>
    <t>CAND577</t>
  </si>
  <si>
    <t>CAND578</t>
  </si>
  <si>
    <t>CAND579</t>
  </si>
  <si>
    <t>CAND585</t>
  </si>
  <si>
    <t>FEMALE</t>
  </si>
  <si>
    <t>MALE</t>
  </si>
  <si>
    <t>NAUKARI</t>
  </si>
  <si>
    <t>REFERENCE</t>
  </si>
  <si>
    <t>LINKDIN</t>
  </si>
  <si>
    <t>POSITION APPLIED</t>
  </si>
  <si>
    <t>EXPERIENCE (IN YRS)</t>
  </si>
  <si>
    <t>APPLICATION STATUS</t>
  </si>
  <si>
    <t>APPLIED</t>
  </si>
  <si>
    <t>SCREENING</t>
  </si>
  <si>
    <t>SHORTLISTED</t>
  </si>
  <si>
    <t>HR ROUND</t>
  </si>
  <si>
    <t>TECHNICAL ROUND</t>
  </si>
  <si>
    <t>FINAL ROUND</t>
  </si>
  <si>
    <t>SELECTED</t>
  </si>
  <si>
    <t>REJECTED</t>
  </si>
  <si>
    <t>Column1</t>
  </si>
  <si>
    <t>RESULT</t>
  </si>
  <si>
    <t>REMARKS</t>
  </si>
  <si>
    <t>CANDIDATE MASTER SHEET</t>
  </si>
  <si>
    <t>PASSED</t>
  </si>
  <si>
    <t>FAILED</t>
  </si>
  <si>
    <t>GOOD CANDIDATE</t>
  </si>
  <si>
    <t>NEEDS TO IMPROVE</t>
  </si>
  <si>
    <t>AVERAGE</t>
  </si>
  <si>
    <t>BAD</t>
  </si>
  <si>
    <t>INTERVIEW COORDINATION SHEET</t>
  </si>
  <si>
    <t xml:space="preserve">CANDIDATE ID </t>
  </si>
  <si>
    <t>NAME</t>
  </si>
  <si>
    <t>INTERVIEW ROUND</t>
  </si>
  <si>
    <t>INTERVIEW TIME</t>
  </si>
  <si>
    <t>FEEDBACK</t>
  </si>
  <si>
    <t>RATINGS</t>
  </si>
  <si>
    <t>INTERVIEW DATE</t>
  </si>
  <si>
    <t>1ST ROUND</t>
  </si>
  <si>
    <t>2nd ROUND</t>
  </si>
  <si>
    <t>2ND ROUND</t>
  </si>
  <si>
    <t>OFFLINE</t>
  </si>
  <si>
    <t>ONLINE</t>
  </si>
  <si>
    <t>COMPLETED</t>
  </si>
  <si>
    <t>NO SHOW</t>
  </si>
  <si>
    <t>SCHEDULED</t>
  </si>
  <si>
    <t>VERY BAD</t>
  </si>
  <si>
    <t>NEED TO IMPROVE</t>
  </si>
  <si>
    <t xml:space="preserve">INTERVIEW STATUS  </t>
  </si>
  <si>
    <t>MODE</t>
  </si>
  <si>
    <t>RECRUITMENT FUNNEL TRACKER</t>
  </si>
  <si>
    <t>POSITION OFFERED</t>
  </si>
  <si>
    <t>OFFERED CTC</t>
  </si>
  <si>
    <t>OFFER RELEASE DATE</t>
  </si>
  <si>
    <t>CANDIDATE RESPONSE DATE</t>
  </si>
  <si>
    <t>EXPECTED JOINING DATE</t>
  </si>
  <si>
    <t>ACCEPTED</t>
  </si>
  <si>
    <t>OFFER STATUS</t>
  </si>
  <si>
    <t>OFFER  MANAGEMENT LIST</t>
  </si>
  <si>
    <t>ONOARDING TRACKER</t>
  </si>
  <si>
    <t>EMPLOYEE ID</t>
  </si>
  <si>
    <t>JOINING DATE</t>
  </si>
  <si>
    <t>DOCUMENT VERIFICATION</t>
  </si>
  <si>
    <t>BACKGROUND VERIFICATION</t>
  </si>
  <si>
    <t>INDUCTION STATUS</t>
  </si>
  <si>
    <t>PROBATION STATUS</t>
  </si>
  <si>
    <t>NO</t>
  </si>
  <si>
    <t>CLEAR</t>
  </si>
  <si>
    <t>NOT CLEAR</t>
  </si>
  <si>
    <t>PENDING</t>
  </si>
  <si>
    <t>YES</t>
  </si>
  <si>
    <t>TERMINATED</t>
  </si>
  <si>
    <t>CONFIRMED</t>
  </si>
  <si>
    <t>EXTENDED</t>
  </si>
  <si>
    <t>LINKDIN APPLICATIONS</t>
  </si>
  <si>
    <t>NAUKARI APPLICATIONS</t>
  </si>
  <si>
    <t>REFERENCE APPLICATION</t>
  </si>
  <si>
    <t>OFFER RELEASED</t>
  </si>
  <si>
    <t>ABSENT</t>
  </si>
  <si>
    <t>3rd ROUND</t>
  </si>
  <si>
    <t>4th ROUND</t>
  </si>
  <si>
    <t>5th ROUND</t>
  </si>
  <si>
    <t>1st ROUND</t>
  </si>
  <si>
    <t>CAND520</t>
  </si>
  <si>
    <t>RECRUITMENT FUNNEL CHART</t>
  </si>
  <si>
    <t>STAGE</t>
  </si>
  <si>
    <t>COUNT</t>
  </si>
  <si>
    <t>SCREENED</t>
  </si>
  <si>
    <t>INTERVIEWED</t>
  </si>
  <si>
    <t>JOINED</t>
  </si>
  <si>
    <t>SOURCE OF HIRE CHART</t>
  </si>
  <si>
    <t xml:space="preserve">SOURCE </t>
  </si>
  <si>
    <t>POSITION WISE APPLICATIONS</t>
  </si>
  <si>
    <t>POSITON</t>
  </si>
  <si>
    <t>ADMIN EXECUTIVE</t>
  </si>
  <si>
    <t>DATA ANALYST</t>
  </si>
  <si>
    <t>HR INTERN</t>
  </si>
  <si>
    <t>RECRUITMENT EXECUTIVE</t>
  </si>
  <si>
    <t>SALES ASSOCIATE</t>
  </si>
  <si>
    <t>QUALIFICATION DISTRIBUTION</t>
  </si>
  <si>
    <t>B.COM</t>
  </si>
  <si>
    <t>B.TECH</t>
  </si>
  <si>
    <t>M.COM</t>
  </si>
  <si>
    <t xml:space="preserve">QUALIFICATION </t>
  </si>
  <si>
    <t>RECRUITMENT ANALYTICS DASHBOARD</t>
  </si>
  <si>
    <t xml:space="preserve">      JOINED EMPLOYEES</t>
  </si>
  <si>
    <t xml:space="preserve">  INTERVIEWED CANDIDATES</t>
  </si>
  <si>
    <t xml:space="preserve">  TOTAL APPLICATION</t>
  </si>
  <si>
    <t xml:space="preserve">   SHORTLISTED CANDIDATES</t>
  </si>
  <si>
    <t>*****</t>
  </si>
  <si>
    <t>****</t>
  </si>
  <si>
    <t>***</t>
  </si>
</sst>
</file>

<file path=xl/styles.xml><?xml version="1.0" encoding="utf-8"?>
<styleSheet xmlns="http://schemas.openxmlformats.org/spreadsheetml/2006/main">
  <numFmts count="2">
    <numFmt numFmtId="44" formatCode="_ &quot;₹&quot;\ * #,##0.00_ ;_ &quot;₹&quot;\ * \-#,##0.00_ ;_ &quot;₹&quot;\ * &quot;-&quot;??_ ;_ @_ "/>
    <numFmt numFmtId="164" formatCode="[$-F400]h:mm:ss\ AM/PM"/>
  </numFmts>
  <fonts count="1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3" borderId="7" xfId="0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  <xf numFmtId="0" fontId="0" fillId="0" borderId="0" xfId="0" applyBorder="1"/>
    <xf numFmtId="44" fontId="0" fillId="0" borderId="0" xfId="0" applyNumberFormat="1" applyAlignment="1">
      <alignment horizontal="center"/>
    </xf>
    <xf numFmtId="0" fontId="0" fillId="3" borderId="7" xfId="0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3" fillId="0" borderId="0" xfId="0" applyFont="1"/>
    <xf numFmtId="0" fontId="12" fillId="0" borderId="0" xfId="0" applyFont="1" applyFill="1" applyAlignment="1">
      <alignment horizontal="center" vertical="center"/>
    </xf>
    <xf numFmtId="0" fontId="11" fillId="0" borderId="0" xfId="0" applyFont="1" applyFill="1"/>
    <xf numFmtId="0" fontId="11" fillId="0" borderId="0" xfId="0" applyFont="1" applyFill="1" applyAlignment="1">
      <alignment horizontal="center" vertical="center"/>
    </xf>
    <xf numFmtId="0" fontId="3" fillId="0" borderId="0" xfId="0" applyFont="1" applyBorder="1"/>
    <xf numFmtId="0" fontId="0" fillId="0" borderId="0" xfId="0" applyFont="1" applyBorder="1"/>
    <xf numFmtId="0" fontId="14" fillId="0" borderId="0" xfId="0" applyFont="1" applyFill="1"/>
    <xf numFmtId="0" fontId="7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0" fontId="8" fillId="4" borderId="0" xfId="0" applyFont="1" applyFill="1" applyBorder="1"/>
    <xf numFmtId="0" fontId="6" fillId="4" borderId="0" xfId="0" applyFont="1" applyFill="1" applyBorder="1"/>
    <xf numFmtId="0" fontId="14" fillId="4" borderId="0" xfId="0" applyFont="1" applyFill="1" applyBorder="1"/>
    <xf numFmtId="0" fontId="7" fillId="4" borderId="0" xfId="0" applyFont="1" applyFill="1" applyBorder="1"/>
    <xf numFmtId="0" fontId="14" fillId="6" borderId="0" xfId="0" applyFont="1" applyFill="1" applyBorder="1"/>
    <xf numFmtId="0" fontId="7" fillId="6" borderId="0" xfId="0" applyFont="1" applyFill="1" applyBorder="1"/>
    <xf numFmtId="0" fontId="0" fillId="3" borderId="15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0" fontId="0" fillId="0" borderId="9" xfId="0" applyBorder="1"/>
    <xf numFmtId="0" fontId="0" fillId="3" borderId="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14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4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10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49" fontId="10" fillId="3" borderId="15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 vertical="top"/>
    </xf>
    <xf numFmtId="1" fontId="0" fillId="0" borderId="5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0" xfId="0" applyFill="1" applyBorder="1" applyAlignment="1"/>
    <xf numFmtId="0" fontId="10" fillId="0" borderId="0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0" xfId="0" applyFont="1"/>
    <xf numFmtId="0" fontId="1" fillId="2" borderId="15" xfId="0" applyFont="1" applyFill="1" applyBorder="1"/>
    <xf numFmtId="0" fontId="5" fillId="0" borderId="0" xfId="0" applyFont="1"/>
    <xf numFmtId="0" fontId="1" fillId="2" borderId="15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 vertical="center"/>
    </xf>
    <xf numFmtId="10" fontId="16" fillId="2" borderId="1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" fontId="18" fillId="0" borderId="8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00B05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3"/>
      </font>
    </dxf>
    <dxf>
      <font>
        <color theme="3"/>
      </font>
    </dxf>
    <dxf>
      <font>
        <condense val="0"/>
        <extend val="0"/>
        <color rgb="FF9C0006"/>
      </font>
    </dxf>
    <dxf>
      <font>
        <color rgb="FF00B050"/>
      </font>
    </dxf>
  </dxfs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RECRUITMENT FUNNEL CHART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553681728836746E-2"/>
          <c:y val="0.22811844236802722"/>
          <c:w val="0.93962874052242562"/>
          <c:h val="0.59361383954169966"/>
        </c:manualLayout>
      </c:layout>
      <c:barChart>
        <c:barDir val="col"/>
        <c:grouping val="clustered"/>
        <c:ser>
          <c:idx val="0"/>
          <c:order val="0"/>
          <c:tx>
            <c:strRef>
              <c:f>Sheet6!$C$14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Sheet6!$B$15:$B$20</c:f>
              <c:strCache>
                <c:ptCount val="6"/>
                <c:pt idx="0">
                  <c:v>APPLIED</c:v>
                </c:pt>
                <c:pt idx="1">
                  <c:v>SCREENED</c:v>
                </c:pt>
                <c:pt idx="2">
                  <c:v>SHORTLISTED</c:v>
                </c:pt>
                <c:pt idx="3">
                  <c:v>INTERVIEWED</c:v>
                </c:pt>
                <c:pt idx="4">
                  <c:v>SELECTED</c:v>
                </c:pt>
                <c:pt idx="5">
                  <c:v>JOINED</c:v>
                </c:pt>
              </c:strCache>
            </c:strRef>
          </c:cat>
          <c:val>
            <c:numRef>
              <c:f>Sheet6!$C$15:$C$20</c:f>
              <c:numCache>
                <c:formatCode>General</c:formatCode>
                <c:ptCount val="6"/>
                <c:pt idx="0">
                  <c:v>80</c:v>
                </c:pt>
                <c:pt idx="1">
                  <c:v>75</c:v>
                </c:pt>
                <c:pt idx="2">
                  <c:v>60</c:v>
                </c:pt>
                <c:pt idx="3">
                  <c:v>55</c:v>
                </c:pt>
                <c:pt idx="4">
                  <c:v>24</c:v>
                </c:pt>
                <c:pt idx="5">
                  <c:v>21</c:v>
                </c:pt>
              </c:numCache>
            </c:numRef>
          </c:val>
        </c:ser>
        <c:axId val="116439680"/>
        <c:axId val="116441472"/>
      </c:barChart>
      <c:catAx>
        <c:axId val="116439680"/>
        <c:scaling>
          <c:orientation val="minMax"/>
        </c:scaling>
        <c:axPos val="b"/>
        <c:tickLblPos val="nextTo"/>
        <c:crossAx val="116441472"/>
        <c:crosses val="autoZero"/>
        <c:auto val="1"/>
        <c:lblAlgn val="ctr"/>
        <c:lblOffset val="100"/>
      </c:catAx>
      <c:valAx>
        <c:axId val="116441472"/>
        <c:scaling>
          <c:orientation val="minMax"/>
        </c:scaling>
        <c:delete val="1"/>
        <c:axPos val="l"/>
        <c:numFmt formatCode="General" sourceLinked="1"/>
        <c:tickLblPos val="nextTo"/>
        <c:crossAx val="116439680"/>
        <c:crosses val="autoZero"/>
        <c:crossBetween val="between"/>
      </c:valAx>
    </c:plotArea>
    <c:plotVisOnly val="1"/>
  </c:chart>
  <c:spPr>
    <a:ln>
      <a:noFill/>
    </a:ln>
  </c:spPr>
  <c:txPr>
    <a:bodyPr/>
    <a:lstStyle/>
    <a:p>
      <a:pPr>
        <a:defRPr u="none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POSITION WISE APPLICATIONS</a:t>
            </a:r>
          </a:p>
        </c:rich>
      </c:tx>
      <c:layout/>
      <c:spPr>
        <a:ln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Sheet6!$C$34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Sheet6!$B$35:$B$39</c:f>
              <c:strCache>
                <c:ptCount val="5"/>
                <c:pt idx="0">
                  <c:v>ADMIN EXECUTIVE</c:v>
                </c:pt>
                <c:pt idx="1">
                  <c:v>DATA ANALYST</c:v>
                </c:pt>
                <c:pt idx="2">
                  <c:v>HR INTERN</c:v>
                </c:pt>
                <c:pt idx="3">
                  <c:v>RECRUITMENT EXECUTIVE</c:v>
                </c:pt>
                <c:pt idx="4">
                  <c:v>SALES ASSOCIATE</c:v>
                </c:pt>
              </c:strCache>
            </c:strRef>
          </c:cat>
          <c:val>
            <c:numRef>
              <c:f>Sheet6!$C$35:$C$39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15</c:v>
                </c:pt>
                <c:pt idx="3">
                  <c:v>17</c:v>
                </c:pt>
                <c:pt idx="4">
                  <c:v>22</c:v>
                </c:pt>
              </c:numCache>
            </c:numRef>
          </c:val>
        </c:ser>
        <c:axId val="116451968"/>
        <c:axId val="117789056"/>
      </c:barChart>
      <c:catAx>
        <c:axId val="116451968"/>
        <c:scaling>
          <c:orientation val="minMax"/>
        </c:scaling>
        <c:axPos val="l"/>
        <c:numFmt formatCode="General" sourceLinked="1"/>
        <c:tickLblPos val="nextTo"/>
        <c:crossAx val="117789056"/>
        <c:crosses val="autoZero"/>
        <c:auto val="1"/>
        <c:lblAlgn val="ctr"/>
        <c:lblOffset val="100"/>
      </c:catAx>
      <c:valAx>
        <c:axId val="117789056"/>
        <c:scaling>
          <c:orientation val="minMax"/>
        </c:scaling>
        <c:delete val="1"/>
        <c:axPos val="b"/>
        <c:numFmt formatCode="General" sourceLinked="1"/>
        <c:tickLblPos val="nextTo"/>
        <c:crossAx val="116451968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SOURCE OF HIRE CHART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Sheet6!$M$15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Sheet6!$L$16:$L$18</c:f>
              <c:strCache>
                <c:ptCount val="3"/>
                <c:pt idx="0">
                  <c:v>LINKDIN APPLICATIONS</c:v>
                </c:pt>
                <c:pt idx="1">
                  <c:v>NAUKARI APPLICATIONS</c:v>
                </c:pt>
                <c:pt idx="2">
                  <c:v>REFERENCE APPLICATION</c:v>
                </c:pt>
              </c:strCache>
            </c:strRef>
          </c:cat>
          <c:val>
            <c:numRef>
              <c:f>Sheet6!$M$16:$M$18</c:f>
              <c:numCache>
                <c:formatCode>General</c:formatCode>
                <c:ptCount val="3"/>
                <c:pt idx="0">
                  <c:v>13</c:v>
                </c:pt>
                <c:pt idx="1">
                  <c:v>29</c:v>
                </c:pt>
                <c:pt idx="2">
                  <c:v>38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9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QUALIFICATION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Sheet6!$M$31</c:f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Sheet6!$L$32:$L$37</c:f>
              <c:strCache>
                <c:ptCount val="6"/>
                <c:pt idx="0">
                  <c:v>B.COM</c:v>
                </c:pt>
                <c:pt idx="1">
                  <c:v>B.TECH</c:v>
                </c:pt>
                <c:pt idx="2">
                  <c:v>BA</c:v>
                </c:pt>
                <c:pt idx="3">
                  <c:v>BBA</c:v>
                </c:pt>
                <c:pt idx="4">
                  <c:v>MBA</c:v>
                </c:pt>
                <c:pt idx="5">
                  <c:v>M.COM</c:v>
                </c:pt>
              </c:strCache>
            </c:strRef>
          </c:cat>
          <c:val>
            <c:numRef>
              <c:f>Sheet6!$M$32:$M$37</c:f>
              <c:numCache>
                <c:formatCode>General</c:formatCode>
                <c:ptCount val="6"/>
                <c:pt idx="0">
                  <c:v>17</c:v>
                </c:pt>
                <c:pt idx="1">
                  <c:v>11</c:v>
                </c:pt>
                <c:pt idx="2">
                  <c:v>17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585108</xdr:colOff>
      <xdr:row>9</xdr:row>
      <xdr:rowOff>27216</xdr:rowOff>
    </xdr:from>
    <xdr:to>
      <xdr:col>5</xdr:col>
      <xdr:colOff>1578430</xdr:colOff>
      <xdr:row>24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653144</xdr:colOff>
      <xdr:row>25</xdr:row>
      <xdr:rowOff>261936</xdr:rowOff>
    </xdr:from>
    <xdr:to>
      <xdr:col>5</xdr:col>
      <xdr:colOff>1700894</xdr:colOff>
      <xdr:row>41</xdr:row>
      <xdr:rowOff>35718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149679</xdr:colOff>
      <xdr:row>9</xdr:row>
      <xdr:rowOff>27216</xdr:rowOff>
    </xdr:from>
    <xdr:to>
      <xdr:col>10</xdr:col>
      <xdr:colOff>938893</xdr:colOff>
      <xdr:row>24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95250</xdr:colOff>
      <xdr:row>25</xdr:row>
      <xdr:rowOff>214311</xdr:rowOff>
    </xdr:from>
    <xdr:to>
      <xdr:col>10</xdr:col>
      <xdr:colOff>979714</xdr:colOff>
      <xdr:row>40</xdr:row>
      <xdr:rowOff>178594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zoomScale="70" zoomScaleNormal="70" workbookViewId="0">
      <selection activeCell="O7" sqref="O7"/>
    </sheetView>
  </sheetViews>
  <sheetFormatPr defaultRowHeight="15"/>
  <cols>
    <col min="1" max="1" width="16.7109375" style="1" customWidth="1"/>
    <col min="2" max="2" width="18" style="1" customWidth="1"/>
    <col min="3" max="3" width="11.28515625" style="3" customWidth="1"/>
    <col min="4" max="4" width="18" style="1" customWidth="1"/>
    <col min="5" max="5" width="15.140625" style="1" customWidth="1"/>
    <col min="6" max="6" width="17.5703125" style="2" customWidth="1"/>
    <col min="7" max="7" width="24.28515625" style="1" customWidth="1"/>
    <col min="8" max="8" width="27" style="1" customWidth="1"/>
    <col min="9" max="9" width="21.42578125" style="1" bestFit="1" customWidth="1"/>
    <col min="10" max="10" width="22.5703125" style="1" customWidth="1"/>
    <col min="11" max="11" width="17.85546875" style="1" customWidth="1"/>
    <col min="12" max="12" width="34.5703125" style="1" customWidth="1"/>
    <col min="13" max="13" width="9.140625" style="41"/>
    <col min="14" max="14" width="9.140625" style="1"/>
  </cols>
  <sheetData>
    <row r="1" spans="1:14" ht="15" customHeight="1">
      <c r="A1" s="92" t="s">
        <v>252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4"/>
      <c r="M1" s="79"/>
    </row>
    <row r="2" spans="1:14" ht="15" customHeight="1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7"/>
      <c r="M2" s="79"/>
    </row>
    <row r="3" spans="1:14" s="18" customFormat="1" ht="37.5" customHeight="1">
      <c r="A3" s="71" t="s">
        <v>67</v>
      </c>
      <c r="B3" s="72" t="s">
        <v>68</v>
      </c>
      <c r="C3" s="73" t="s">
        <v>69</v>
      </c>
      <c r="D3" s="72" t="s">
        <v>70</v>
      </c>
      <c r="E3" s="71" t="s">
        <v>71</v>
      </c>
      <c r="F3" s="74" t="s">
        <v>66</v>
      </c>
      <c r="G3" s="72" t="s">
        <v>72</v>
      </c>
      <c r="H3" s="69" t="s">
        <v>73</v>
      </c>
      <c r="I3" s="71" t="s">
        <v>238</v>
      </c>
      <c r="J3" s="68" t="s">
        <v>239</v>
      </c>
      <c r="K3" s="71" t="s">
        <v>74</v>
      </c>
      <c r="L3" s="71" t="s">
        <v>75</v>
      </c>
      <c r="M3" s="80"/>
      <c r="N3" s="17"/>
    </row>
    <row r="4" spans="1:14">
      <c r="A4" s="55" t="s">
        <v>169</v>
      </c>
      <c r="B4" s="37" t="s">
        <v>0</v>
      </c>
      <c r="C4" s="75">
        <v>29</v>
      </c>
      <c r="D4" s="37" t="s">
        <v>234</v>
      </c>
      <c r="E4" s="37" t="s">
        <v>76</v>
      </c>
      <c r="F4" s="76">
        <v>9644118112</v>
      </c>
      <c r="G4" s="37" t="s">
        <v>103</v>
      </c>
      <c r="H4" s="37" t="s">
        <v>235</v>
      </c>
      <c r="I4" s="37" t="s">
        <v>84</v>
      </c>
      <c r="J4" s="37">
        <v>4.4000000000000004</v>
      </c>
      <c r="K4" s="37" t="s">
        <v>97</v>
      </c>
      <c r="L4" s="70" t="s">
        <v>89</v>
      </c>
    </row>
    <row r="5" spans="1:14">
      <c r="A5" s="55" t="s">
        <v>170</v>
      </c>
      <c r="B5" s="37" t="s">
        <v>1</v>
      </c>
      <c r="C5" s="75">
        <v>26</v>
      </c>
      <c r="D5" s="37" t="s">
        <v>234</v>
      </c>
      <c r="E5" s="37" t="s">
        <v>77</v>
      </c>
      <c r="F5" s="76">
        <v>9644118112</v>
      </c>
      <c r="G5" s="37" t="s">
        <v>104</v>
      </c>
      <c r="H5" s="37" t="s">
        <v>235</v>
      </c>
      <c r="I5" s="37" t="s">
        <v>85</v>
      </c>
      <c r="J5" s="37">
        <v>4.4000000000000004</v>
      </c>
      <c r="K5" s="37" t="s">
        <v>98</v>
      </c>
      <c r="L5" s="70" t="s">
        <v>90</v>
      </c>
    </row>
    <row r="6" spans="1:14">
      <c r="A6" s="55" t="s">
        <v>171</v>
      </c>
      <c r="B6" s="37" t="s">
        <v>2</v>
      </c>
      <c r="C6" s="75">
        <v>34</v>
      </c>
      <c r="D6" s="37" t="s">
        <v>234</v>
      </c>
      <c r="E6" s="37" t="s">
        <v>78</v>
      </c>
      <c r="F6" s="76">
        <v>9644118112</v>
      </c>
      <c r="G6" s="37" t="s">
        <v>105</v>
      </c>
      <c r="H6" s="37" t="s">
        <v>236</v>
      </c>
      <c r="I6" s="37" t="s">
        <v>85</v>
      </c>
      <c r="J6" s="37">
        <v>4.5999999999999996</v>
      </c>
      <c r="K6" s="37" t="s">
        <v>99</v>
      </c>
      <c r="L6" s="70" t="s">
        <v>89</v>
      </c>
    </row>
    <row r="7" spans="1:14">
      <c r="A7" s="55" t="s">
        <v>172</v>
      </c>
      <c r="B7" s="37" t="s">
        <v>3</v>
      </c>
      <c r="C7" s="75">
        <v>22</v>
      </c>
      <c r="D7" s="37" t="s">
        <v>233</v>
      </c>
      <c r="E7" s="37" t="s">
        <v>78</v>
      </c>
      <c r="F7" s="76">
        <v>9644118112</v>
      </c>
      <c r="G7" s="37" t="s">
        <v>106</v>
      </c>
      <c r="H7" s="37" t="s">
        <v>237</v>
      </c>
      <c r="I7" s="37" t="s">
        <v>86</v>
      </c>
      <c r="J7" s="37">
        <v>4.2</v>
      </c>
      <c r="K7" s="37" t="s">
        <v>99</v>
      </c>
      <c r="L7" s="70" t="s">
        <v>91</v>
      </c>
    </row>
    <row r="8" spans="1:14">
      <c r="A8" s="55" t="s">
        <v>173</v>
      </c>
      <c r="B8" s="37" t="s">
        <v>4</v>
      </c>
      <c r="C8" s="75">
        <v>32</v>
      </c>
      <c r="D8" s="37" t="s">
        <v>234</v>
      </c>
      <c r="E8" s="37" t="s">
        <v>79</v>
      </c>
      <c r="F8" s="76">
        <v>9644118112</v>
      </c>
      <c r="G8" s="37" t="s">
        <v>107</v>
      </c>
      <c r="H8" s="37" t="s">
        <v>236</v>
      </c>
      <c r="I8" s="37" t="s">
        <v>84</v>
      </c>
      <c r="J8" s="37">
        <v>4.5999999999999996</v>
      </c>
      <c r="K8" s="37" t="s">
        <v>99</v>
      </c>
      <c r="L8" s="70" t="s">
        <v>90</v>
      </c>
    </row>
    <row r="9" spans="1:14">
      <c r="A9" s="55" t="s">
        <v>174</v>
      </c>
      <c r="B9" s="37" t="s">
        <v>5</v>
      </c>
      <c r="C9" s="75">
        <v>35</v>
      </c>
      <c r="D9" s="37" t="s">
        <v>233</v>
      </c>
      <c r="E9" s="37" t="s">
        <v>80</v>
      </c>
      <c r="F9" s="76">
        <v>9644118112</v>
      </c>
      <c r="G9" s="37" t="s">
        <v>108</v>
      </c>
      <c r="H9" s="37" t="s">
        <v>236</v>
      </c>
      <c r="I9" s="37" t="s">
        <v>86</v>
      </c>
      <c r="J9" s="37">
        <v>4.5999999999999996</v>
      </c>
      <c r="K9" s="37" t="s">
        <v>98</v>
      </c>
      <c r="L9" s="70" t="s">
        <v>92</v>
      </c>
    </row>
    <row r="10" spans="1:14">
      <c r="A10" s="55" t="s">
        <v>175</v>
      </c>
      <c r="B10" s="37" t="s">
        <v>6</v>
      </c>
      <c r="C10" s="75">
        <v>33</v>
      </c>
      <c r="D10" s="37" t="s">
        <v>233</v>
      </c>
      <c r="E10" s="37" t="s">
        <v>79</v>
      </c>
      <c r="F10" s="76">
        <v>9644118112</v>
      </c>
      <c r="G10" s="37" t="s">
        <v>109</v>
      </c>
      <c r="H10" s="37" t="s">
        <v>236</v>
      </c>
      <c r="I10" s="37" t="s">
        <v>87</v>
      </c>
      <c r="J10" s="37">
        <v>5.2</v>
      </c>
      <c r="K10" s="37" t="s">
        <v>98</v>
      </c>
      <c r="L10" s="70" t="s">
        <v>93</v>
      </c>
    </row>
    <row r="11" spans="1:14">
      <c r="A11" s="55" t="s">
        <v>176</v>
      </c>
      <c r="B11" s="37" t="s">
        <v>7</v>
      </c>
      <c r="C11" s="75">
        <v>33</v>
      </c>
      <c r="D11" s="37" t="s">
        <v>233</v>
      </c>
      <c r="E11" s="37" t="s">
        <v>80</v>
      </c>
      <c r="F11" s="76">
        <v>9644118112</v>
      </c>
      <c r="G11" s="37" t="s">
        <v>110</v>
      </c>
      <c r="H11" s="37" t="s">
        <v>236</v>
      </c>
      <c r="I11" s="37" t="s">
        <v>84</v>
      </c>
      <c r="J11" s="37">
        <v>2.1</v>
      </c>
      <c r="K11" s="37" t="s">
        <v>97</v>
      </c>
      <c r="L11" s="70" t="s">
        <v>89</v>
      </c>
    </row>
    <row r="12" spans="1:14">
      <c r="A12" s="55" t="s">
        <v>177</v>
      </c>
      <c r="B12" s="37" t="s">
        <v>8</v>
      </c>
      <c r="C12" s="75">
        <v>23</v>
      </c>
      <c r="D12" s="37" t="s">
        <v>234</v>
      </c>
      <c r="E12" s="37" t="s">
        <v>76</v>
      </c>
      <c r="F12" s="76">
        <v>9644118112</v>
      </c>
      <c r="G12" s="37" t="s">
        <v>111</v>
      </c>
      <c r="H12" s="37" t="s">
        <v>237</v>
      </c>
      <c r="I12" s="37" t="s">
        <v>84</v>
      </c>
      <c r="J12" s="37">
        <v>5.2</v>
      </c>
      <c r="K12" s="37" t="s">
        <v>98</v>
      </c>
      <c r="L12" s="70" t="s">
        <v>91</v>
      </c>
    </row>
    <row r="13" spans="1:14">
      <c r="A13" s="55" t="s">
        <v>178</v>
      </c>
      <c r="B13" s="37" t="s">
        <v>9</v>
      </c>
      <c r="C13" s="75">
        <v>22</v>
      </c>
      <c r="D13" s="37" t="s">
        <v>234</v>
      </c>
      <c r="E13" s="37" t="s">
        <v>77</v>
      </c>
      <c r="F13" s="76">
        <v>9644118112</v>
      </c>
      <c r="G13" s="37" t="s">
        <v>112</v>
      </c>
      <c r="H13" s="37" t="s">
        <v>237</v>
      </c>
      <c r="I13" s="37" t="s">
        <v>86</v>
      </c>
      <c r="J13" s="37">
        <v>1.2</v>
      </c>
      <c r="K13" s="37" t="s">
        <v>98</v>
      </c>
      <c r="L13" s="70" t="s">
        <v>91</v>
      </c>
    </row>
    <row r="14" spans="1:14">
      <c r="A14" s="55" t="s">
        <v>179</v>
      </c>
      <c r="B14" s="37" t="s">
        <v>10</v>
      </c>
      <c r="C14" s="75">
        <v>22</v>
      </c>
      <c r="D14" s="37" t="s">
        <v>233</v>
      </c>
      <c r="E14" s="37" t="s">
        <v>78</v>
      </c>
      <c r="F14" s="76">
        <v>9644118112</v>
      </c>
      <c r="G14" s="37" t="s">
        <v>113</v>
      </c>
      <c r="H14" s="37" t="s">
        <v>237</v>
      </c>
      <c r="I14" s="37" t="s">
        <v>85</v>
      </c>
      <c r="J14" s="37">
        <v>3.2</v>
      </c>
      <c r="K14" s="37" t="s">
        <v>100</v>
      </c>
      <c r="L14" s="70" t="s">
        <v>93</v>
      </c>
    </row>
    <row r="15" spans="1:14">
      <c r="A15" s="55" t="s">
        <v>180</v>
      </c>
      <c r="B15" s="37" t="s">
        <v>11</v>
      </c>
      <c r="C15" s="75">
        <v>31</v>
      </c>
      <c r="D15" s="37" t="s">
        <v>233</v>
      </c>
      <c r="E15" s="37" t="s">
        <v>77</v>
      </c>
      <c r="F15" s="76">
        <v>9644118112</v>
      </c>
      <c r="G15" s="37" t="s">
        <v>114</v>
      </c>
      <c r="H15" s="37" t="s">
        <v>236</v>
      </c>
      <c r="I15" s="37" t="s">
        <v>86</v>
      </c>
      <c r="J15" s="37">
        <v>2.6</v>
      </c>
      <c r="K15" s="37" t="s">
        <v>101</v>
      </c>
      <c r="L15" s="70" t="s">
        <v>92</v>
      </c>
    </row>
    <row r="16" spans="1:14">
      <c r="A16" s="55" t="s">
        <v>181</v>
      </c>
      <c r="B16" s="37" t="s">
        <v>12</v>
      </c>
      <c r="C16" s="75">
        <v>33</v>
      </c>
      <c r="D16" s="37" t="s">
        <v>234</v>
      </c>
      <c r="E16" s="37" t="s">
        <v>80</v>
      </c>
      <c r="F16" s="76">
        <v>9644118112</v>
      </c>
      <c r="G16" s="37" t="s">
        <v>115</v>
      </c>
      <c r="H16" s="37" t="s">
        <v>236</v>
      </c>
      <c r="I16" s="37" t="s">
        <v>86</v>
      </c>
      <c r="J16" s="37">
        <v>5.4</v>
      </c>
      <c r="K16" s="37" t="s">
        <v>99</v>
      </c>
      <c r="L16" s="70" t="s">
        <v>94</v>
      </c>
    </row>
    <row r="17" spans="1:12">
      <c r="A17" s="55" t="s">
        <v>182</v>
      </c>
      <c r="B17" s="37" t="s">
        <v>13</v>
      </c>
      <c r="C17" s="75">
        <v>27</v>
      </c>
      <c r="D17" s="37" t="s">
        <v>233</v>
      </c>
      <c r="E17" s="37" t="s">
        <v>78</v>
      </c>
      <c r="F17" s="76">
        <v>9644118112</v>
      </c>
      <c r="G17" s="37" t="s">
        <v>116</v>
      </c>
      <c r="H17" s="37" t="s">
        <v>235</v>
      </c>
      <c r="I17" s="37" t="s">
        <v>84</v>
      </c>
      <c r="J17" s="37">
        <v>1</v>
      </c>
      <c r="K17" s="37" t="s">
        <v>100</v>
      </c>
      <c r="L17" s="70" t="s">
        <v>95</v>
      </c>
    </row>
    <row r="18" spans="1:12">
      <c r="A18" s="55" t="s">
        <v>178</v>
      </c>
      <c r="B18" s="37" t="s">
        <v>14</v>
      </c>
      <c r="C18" s="75">
        <v>31</v>
      </c>
      <c r="D18" s="37" t="s">
        <v>234</v>
      </c>
      <c r="E18" s="37" t="s">
        <v>81</v>
      </c>
      <c r="F18" s="76">
        <v>9644118112</v>
      </c>
      <c r="G18" s="37" t="s">
        <v>117</v>
      </c>
      <c r="H18" s="37" t="s">
        <v>236</v>
      </c>
      <c r="I18" s="37" t="s">
        <v>85</v>
      </c>
      <c r="J18" s="37">
        <v>2.1</v>
      </c>
      <c r="K18" s="37" t="s">
        <v>100</v>
      </c>
      <c r="L18" s="70" t="s">
        <v>89</v>
      </c>
    </row>
    <row r="19" spans="1:12">
      <c r="A19" s="55" t="s">
        <v>183</v>
      </c>
      <c r="B19" s="37" t="s">
        <v>5</v>
      </c>
      <c r="C19" s="75">
        <v>34</v>
      </c>
      <c r="D19" s="37" t="s">
        <v>233</v>
      </c>
      <c r="E19" s="37" t="s">
        <v>79</v>
      </c>
      <c r="F19" s="76">
        <v>9644118112</v>
      </c>
      <c r="G19" s="37" t="s">
        <v>108</v>
      </c>
      <c r="H19" s="37" t="s">
        <v>236</v>
      </c>
      <c r="I19" s="37" t="s">
        <v>85</v>
      </c>
      <c r="J19" s="37">
        <v>4.5</v>
      </c>
      <c r="K19" s="37" t="s">
        <v>100</v>
      </c>
      <c r="L19" s="70" t="s">
        <v>93</v>
      </c>
    </row>
    <row r="20" spans="1:12">
      <c r="A20" s="55" t="s">
        <v>184</v>
      </c>
      <c r="B20" s="37" t="s">
        <v>15</v>
      </c>
      <c r="C20" s="75">
        <v>24</v>
      </c>
      <c r="D20" s="37" t="s">
        <v>234</v>
      </c>
      <c r="E20" s="37" t="s">
        <v>80</v>
      </c>
      <c r="F20" s="76">
        <v>9644118112</v>
      </c>
      <c r="G20" s="37" t="s">
        <v>118</v>
      </c>
      <c r="H20" s="37" t="s">
        <v>237</v>
      </c>
      <c r="I20" s="37" t="s">
        <v>87</v>
      </c>
      <c r="J20" s="37">
        <v>5.7</v>
      </c>
      <c r="K20" s="37" t="s">
        <v>102</v>
      </c>
      <c r="L20" s="70" t="s">
        <v>91</v>
      </c>
    </row>
    <row r="21" spans="1:12">
      <c r="A21" s="55" t="s">
        <v>185</v>
      </c>
      <c r="B21" s="37" t="s">
        <v>16</v>
      </c>
      <c r="C21" s="75">
        <v>30</v>
      </c>
      <c r="D21" s="37" t="s">
        <v>234</v>
      </c>
      <c r="E21" s="37" t="s">
        <v>81</v>
      </c>
      <c r="F21" s="76">
        <v>9644118112</v>
      </c>
      <c r="G21" s="37" t="s">
        <v>119</v>
      </c>
      <c r="H21" s="37" t="s">
        <v>236</v>
      </c>
      <c r="I21" s="37" t="s">
        <v>87</v>
      </c>
      <c r="J21" s="37">
        <v>4.4000000000000004</v>
      </c>
      <c r="K21" s="37" t="s">
        <v>99</v>
      </c>
      <c r="L21" s="70" t="s">
        <v>90</v>
      </c>
    </row>
    <row r="22" spans="1:12">
      <c r="A22" s="55" t="s">
        <v>186</v>
      </c>
      <c r="B22" s="37" t="s">
        <v>17</v>
      </c>
      <c r="C22" s="75">
        <v>26</v>
      </c>
      <c r="D22" s="37" t="s">
        <v>234</v>
      </c>
      <c r="E22" s="37" t="s">
        <v>79</v>
      </c>
      <c r="F22" s="76">
        <v>9644118112</v>
      </c>
      <c r="G22" s="37" t="s">
        <v>120</v>
      </c>
      <c r="H22" s="37" t="s">
        <v>235</v>
      </c>
      <c r="I22" s="37" t="s">
        <v>84</v>
      </c>
      <c r="J22" s="37">
        <v>5.8</v>
      </c>
      <c r="K22" s="37" t="s">
        <v>102</v>
      </c>
      <c r="L22" s="70" t="s">
        <v>90</v>
      </c>
    </row>
    <row r="23" spans="1:12">
      <c r="A23" s="55" t="s">
        <v>187</v>
      </c>
      <c r="B23" s="37" t="s">
        <v>18</v>
      </c>
      <c r="C23" s="75">
        <v>29</v>
      </c>
      <c r="D23" s="37" t="s">
        <v>233</v>
      </c>
      <c r="E23" s="37" t="s">
        <v>76</v>
      </c>
      <c r="F23" s="76">
        <v>9644118112</v>
      </c>
      <c r="G23" s="37" t="s">
        <v>121</v>
      </c>
      <c r="H23" s="37" t="s">
        <v>235</v>
      </c>
      <c r="I23" s="37" t="s">
        <v>85</v>
      </c>
      <c r="J23" s="37">
        <v>5.7</v>
      </c>
      <c r="K23" s="37" t="s">
        <v>100</v>
      </c>
      <c r="L23" s="70" t="s">
        <v>90</v>
      </c>
    </row>
    <row r="24" spans="1:12">
      <c r="A24" s="55" t="s">
        <v>188</v>
      </c>
      <c r="B24" s="37" t="s">
        <v>19</v>
      </c>
      <c r="C24" s="75">
        <v>30</v>
      </c>
      <c r="D24" s="37" t="s">
        <v>234</v>
      </c>
      <c r="E24" s="37" t="s">
        <v>78</v>
      </c>
      <c r="F24" s="76">
        <v>9644118112</v>
      </c>
      <c r="G24" s="37" t="s">
        <v>122</v>
      </c>
      <c r="H24" s="37" t="s">
        <v>236</v>
      </c>
      <c r="I24" s="37" t="s">
        <v>86</v>
      </c>
      <c r="J24" s="37">
        <v>5.5</v>
      </c>
      <c r="K24" s="37" t="s">
        <v>97</v>
      </c>
      <c r="L24" s="70" t="s">
        <v>95</v>
      </c>
    </row>
    <row r="25" spans="1:12">
      <c r="A25" s="55" t="s">
        <v>189</v>
      </c>
      <c r="B25" s="37" t="s">
        <v>18</v>
      </c>
      <c r="C25" s="75">
        <v>33</v>
      </c>
      <c r="D25" s="37" t="s">
        <v>233</v>
      </c>
      <c r="E25" s="37" t="s">
        <v>81</v>
      </c>
      <c r="F25" s="76">
        <v>9644118112</v>
      </c>
      <c r="G25" s="37" t="s">
        <v>121</v>
      </c>
      <c r="H25" s="37" t="s">
        <v>236</v>
      </c>
      <c r="I25" s="37" t="s">
        <v>88</v>
      </c>
      <c r="J25" s="37">
        <v>2.9</v>
      </c>
      <c r="K25" s="37" t="s">
        <v>97</v>
      </c>
      <c r="L25" s="70" t="s">
        <v>89</v>
      </c>
    </row>
    <row r="26" spans="1:12">
      <c r="A26" s="55" t="s">
        <v>190</v>
      </c>
      <c r="B26" s="37" t="s">
        <v>3</v>
      </c>
      <c r="C26" s="75">
        <v>29</v>
      </c>
      <c r="D26" s="37" t="s">
        <v>233</v>
      </c>
      <c r="E26" s="37" t="s">
        <v>76</v>
      </c>
      <c r="F26" s="76">
        <v>9644118112</v>
      </c>
      <c r="G26" s="37" t="s">
        <v>106</v>
      </c>
      <c r="H26" s="37" t="s">
        <v>235</v>
      </c>
      <c r="I26" s="37" t="s">
        <v>85</v>
      </c>
      <c r="J26" s="37">
        <v>5.2</v>
      </c>
      <c r="K26" s="37" t="s">
        <v>102</v>
      </c>
      <c r="L26" s="70" t="s">
        <v>91</v>
      </c>
    </row>
    <row r="27" spans="1:12">
      <c r="A27" s="55" t="s">
        <v>191</v>
      </c>
      <c r="B27" s="37" t="s">
        <v>4</v>
      </c>
      <c r="C27" s="75">
        <v>34</v>
      </c>
      <c r="D27" s="37" t="s">
        <v>234</v>
      </c>
      <c r="E27" s="37" t="s">
        <v>80</v>
      </c>
      <c r="F27" s="76">
        <v>9644118112</v>
      </c>
      <c r="G27" s="37" t="s">
        <v>107</v>
      </c>
      <c r="H27" s="37" t="s">
        <v>236</v>
      </c>
      <c r="I27" s="37" t="s">
        <v>86</v>
      </c>
      <c r="J27" s="37">
        <v>1.2</v>
      </c>
      <c r="K27" s="37" t="s">
        <v>99</v>
      </c>
      <c r="L27" s="70" t="s">
        <v>95</v>
      </c>
    </row>
    <row r="28" spans="1:12">
      <c r="A28" s="55" t="s">
        <v>187</v>
      </c>
      <c r="B28" s="37" t="s">
        <v>20</v>
      </c>
      <c r="C28" s="75">
        <v>35</v>
      </c>
      <c r="D28" s="37" t="s">
        <v>234</v>
      </c>
      <c r="E28" s="37" t="s">
        <v>79</v>
      </c>
      <c r="F28" s="76">
        <v>9644118112</v>
      </c>
      <c r="G28" s="37" t="s">
        <v>123</v>
      </c>
      <c r="H28" s="37" t="s">
        <v>236</v>
      </c>
      <c r="I28" s="37" t="s">
        <v>87</v>
      </c>
      <c r="J28" s="37">
        <v>2.2999999999999998</v>
      </c>
      <c r="K28" s="37" t="s">
        <v>102</v>
      </c>
      <c r="L28" s="70" t="s">
        <v>93</v>
      </c>
    </row>
    <row r="29" spans="1:12">
      <c r="A29" s="55" t="s">
        <v>192</v>
      </c>
      <c r="B29" s="37" t="s">
        <v>13</v>
      </c>
      <c r="C29" s="75">
        <v>23</v>
      </c>
      <c r="D29" s="37" t="s">
        <v>233</v>
      </c>
      <c r="E29" s="37" t="s">
        <v>80</v>
      </c>
      <c r="F29" s="76">
        <v>9644118112</v>
      </c>
      <c r="G29" s="37" t="s">
        <v>116</v>
      </c>
      <c r="H29" s="37" t="s">
        <v>237</v>
      </c>
      <c r="I29" s="37" t="s">
        <v>88</v>
      </c>
      <c r="J29" s="37">
        <v>2.2000000000000002</v>
      </c>
      <c r="K29" s="37" t="s">
        <v>98</v>
      </c>
      <c r="L29" s="70" t="s">
        <v>96</v>
      </c>
    </row>
    <row r="30" spans="1:12">
      <c r="A30" s="55" t="s">
        <v>193</v>
      </c>
      <c r="B30" s="37" t="s">
        <v>21</v>
      </c>
      <c r="C30" s="75">
        <v>34</v>
      </c>
      <c r="D30" s="37" t="s">
        <v>234</v>
      </c>
      <c r="E30" s="37" t="s">
        <v>79</v>
      </c>
      <c r="F30" s="76">
        <v>9644118112</v>
      </c>
      <c r="G30" s="37" t="s">
        <v>124</v>
      </c>
      <c r="H30" s="37" t="s">
        <v>236</v>
      </c>
      <c r="I30" s="37" t="s">
        <v>84</v>
      </c>
      <c r="J30" s="37">
        <v>3.8</v>
      </c>
      <c r="K30" s="37" t="s">
        <v>102</v>
      </c>
      <c r="L30" s="70" t="s">
        <v>96</v>
      </c>
    </row>
    <row r="31" spans="1:12">
      <c r="A31" s="55" t="s">
        <v>194</v>
      </c>
      <c r="B31" s="37" t="s">
        <v>22</v>
      </c>
      <c r="C31" s="75">
        <v>34</v>
      </c>
      <c r="D31" s="37" t="s">
        <v>234</v>
      </c>
      <c r="E31" s="37" t="s">
        <v>76</v>
      </c>
      <c r="F31" s="76">
        <v>9644118112</v>
      </c>
      <c r="G31" s="37" t="s">
        <v>125</v>
      </c>
      <c r="H31" s="37" t="s">
        <v>236</v>
      </c>
      <c r="I31" s="37" t="s">
        <v>88</v>
      </c>
      <c r="J31" s="37">
        <v>5.9</v>
      </c>
      <c r="K31" s="37" t="s">
        <v>100</v>
      </c>
      <c r="L31" s="70" t="s">
        <v>90</v>
      </c>
    </row>
    <row r="32" spans="1:12">
      <c r="A32" s="55" t="s">
        <v>195</v>
      </c>
      <c r="B32" s="37" t="s">
        <v>23</v>
      </c>
      <c r="C32" s="75">
        <v>25</v>
      </c>
      <c r="D32" s="37" t="s">
        <v>234</v>
      </c>
      <c r="E32" s="37" t="s">
        <v>80</v>
      </c>
      <c r="F32" s="76">
        <v>9644118112</v>
      </c>
      <c r="G32" s="37" t="s">
        <v>126</v>
      </c>
      <c r="H32" s="37" t="s">
        <v>235</v>
      </c>
      <c r="I32" s="37" t="s">
        <v>85</v>
      </c>
      <c r="J32" s="37">
        <v>2.4</v>
      </c>
      <c r="K32" s="37" t="s">
        <v>98</v>
      </c>
      <c r="L32" s="70" t="s">
        <v>93</v>
      </c>
    </row>
    <row r="33" spans="1:12">
      <c r="A33" s="55" t="s">
        <v>196</v>
      </c>
      <c r="B33" s="37" t="s">
        <v>24</v>
      </c>
      <c r="C33" s="75">
        <v>33</v>
      </c>
      <c r="D33" s="37" t="s">
        <v>234</v>
      </c>
      <c r="E33" s="37" t="s">
        <v>77</v>
      </c>
      <c r="F33" s="76">
        <v>9644118112</v>
      </c>
      <c r="G33" s="37" t="s">
        <v>127</v>
      </c>
      <c r="H33" s="37" t="s">
        <v>236</v>
      </c>
      <c r="I33" s="37" t="s">
        <v>88</v>
      </c>
      <c r="J33" s="37">
        <v>5.0999999999999996</v>
      </c>
      <c r="K33" s="37" t="s">
        <v>97</v>
      </c>
      <c r="L33" s="70" t="s">
        <v>94</v>
      </c>
    </row>
    <row r="34" spans="1:12">
      <c r="A34" s="55" t="s">
        <v>197</v>
      </c>
      <c r="B34" s="37" t="s">
        <v>25</v>
      </c>
      <c r="C34" s="75">
        <v>22</v>
      </c>
      <c r="D34" s="37" t="s">
        <v>234</v>
      </c>
      <c r="E34" s="37" t="s">
        <v>77</v>
      </c>
      <c r="F34" s="76">
        <v>9644118112</v>
      </c>
      <c r="G34" s="37" t="s">
        <v>128</v>
      </c>
      <c r="H34" s="37" t="s">
        <v>237</v>
      </c>
      <c r="I34" s="37" t="s">
        <v>84</v>
      </c>
      <c r="J34" s="37">
        <v>5.0999999999999996</v>
      </c>
      <c r="K34" s="37" t="s">
        <v>102</v>
      </c>
      <c r="L34" s="70" t="s">
        <v>91</v>
      </c>
    </row>
    <row r="35" spans="1:12">
      <c r="A35" s="55" t="s">
        <v>198</v>
      </c>
      <c r="B35" s="37" t="s">
        <v>26</v>
      </c>
      <c r="C35" s="75">
        <v>23</v>
      </c>
      <c r="D35" s="37" t="s">
        <v>233</v>
      </c>
      <c r="E35" s="37" t="s">
        <v>80</v>
      </c>
      <c r="F35" s="76">
        <v>9644118112</v>
      </c>
      <c r="G35" s="37" t="s">
        <v>129</v>
      </c>
      <c r="H35" s="37" t="s">
        <v>237</v>
      </c>
      <c r="I35" s="37" t="s">
        <v>85</v>
      </c>
      <c r="J35" s="37">
        <v>5.5</v>
      </c>
      <c r="K35" s="37" t="s">
        <v>100</v>
      </c>
      <c r="L35" s="70" t="s">
        <v>94</v>
      </c>
    </row>
    <row r="36" spans="1:12">
      <c r="A36" s="55" t="s">
        <v>199</v>
      </c>
      <c r="B36" s="37" t="s">
        <v>27</v>
      </c>
      <c r="C36" s="75">
        <v>26</v>
      </c>
      <c r="D36" s="37" t="s">
        <v>234</v>
      </c>
      <c r="E36" s="37" t="s">
        <v>76</v>
      </c>
      <c r="F36" s="76">
        <v>9644118112</v>
      </c>
      <c r="G36" s="37" t="s">
        <v>130</v>
      </c>
      <c r="H36" s="37" t="s">
        <v>235</v>
      </c>
      <c r="I36" s="37" t="s">
        <v>84</v>
      </c>
      <c r="J36" s="37">
        <v>2.9</v>
      </c>
      <c r="K36" s="37" t="s">
        <v>101</v>
      </c>
      <c r="L36" s="70" t="s">
        <v>93</v>
      </c>
    </row>
    <row r="37" spans="1:12">
      <c r="A37" s="55" t="s">
        <v>200</v>
      </c>
      <c r="B37" s="37" t="s">
        <v>28</v>
      </c>
      <c r="C37" s="75">
        <v>30</v>
      </c>
      <c r="D37" s="37" t="s">
        <v>233</v>
      </c>
      <c r="E37" s="37" t="s">
        <v>81</v>
      </c>
      <c r="F37" s="76">
        <v>9644118112</v>
      </c>
      <c r="G37" s="37" t="s">
        <v>131</v>
      </c>
      <c r="H37" s="37" t="s">
        <v>236</v>
      </c>
      <c r="I37" s="37" t="s">
        <v>86</v>
      </c>
      <c r="J37" s="37">
        <v>5.0999999999999996</v>
      </c>
      <c r="K37" s="37" t="s">
        <v>97</v>
      </c>
      <c r="L37" s="70" t="s">
        <v>93</v>
      </c>
    </row>
    <row r="38" spans="1:12">
      <c r="A38" s="55" t="s">
        <v>196</v>
      </c>
      <c r="B38" s="37" t="s">
        <v>29</v>
      </c>
      <c r="C38" s="75">
        <v>32</v>
      </c>
      <c r="D38" s="37" t="s">
        <v>234</v>
      </c>
      <c r="E38" s="37" t="s">
        <v>81</v>
      </c>
      <c r="F38" s="76">
        <v>9644118112</v>
      </c>
      <c r="G38" s="37" t="s">
        <v>132</v>
      </c>
      <c r="H38" s="37" t="s">
        <v>236</v>
      </c>
      <c r="I38" s="37" t="s">
        <v>85</v>
      </c>
      <c r="J38" s="37">
        <v>5.7</v>
      </c>
      <c r="K38" s="37" t="s">
        <v>99</v>
      </c>
      <c r="L38" s="70" t="s">
        <v>95</v>
      </c>
    </row>
    <row r="39" spans="1:12">
      <c r="A39" s="55" t="s">
        <v>201</v>
      </c>
      <c r="B39" s="37" t="s">
        <v>30</v>
      </c>
      <c r="C39" s="75">
        <v>29</v>
      </c>
      <c r="D39" s="37" t="s">
        <v>233</v>
      </c>
      <c r="E39" s="37" t="s">
        <v>80</v>
      </c>
      <c r="F39" s="76">
        <v>9644118112</v>
      </c>
      <c r="G39" s="37" t="s">
        <v>133</v>
      </c>
      <c r="H39" s="37" t="s">
        <v>235</v>
      </c>
      <c r="I39" s="37" t="s">
        <v>86</v>
      </c>
      <c r="J39" s="37">
        <v>2.1</v>
      </c>
      <c r="K39" s="37" t="s">
        <v>100</v>
      </c>
      <c r="L39" s="70" t="s">
        <v>92</v>
      </c>
    </row>
    <row r="40" spans="1:12">
      <c r="A40" s="55" t="s">
        <v>202</v>
      </c>
      <c r="B40" s="37" t="s">
        <v>22</v>
      </c>
      <c r="C40" s="75">
        <v>22</v>
      </c>
      <c r="D40" s="37" t="s">
        <v>234</v>
      </c>
      <c r="E40" s="37" t="s">
        <v>82</v>
      </c>
      <c r="F40" s="76">
        <v>9644118112</v>
      </c>
      <c r="G40" s="37" t="s">
        <v>125</v>
      </c>
      <c r="H40" s="37" t="s">
        <v>237</v>
      </c>
      <c r="I40" s="37" t="s">
        <v>84</v>
      </c>
      <c r="J40" s="37">
        <v>5</v>
      </c>
      <c r="K40" s="37" t="s">
        <v>100</v>
      </c>
      <c r="L40" s="70" t="s">
        <v>96</v>
      </c>
    </row>
    <row r="41" spans="1:12">
      <c r="A41" s="55" t="s">
        <v>203</v>
      </c>
      <c r="B41" s="37" t="s">
        <v>12</v>
      </c>
      <c r="C41" s="75">
        <v>30</v>
      </c>
      <c r="D41" s="37" t="s">
        <v>234</v>
      </c>
      <c r="E41" s="37" t="s">
        <v>81</v>
      </c>
      <c r="F41" s="76">
        <v>9644118112</v>
      </c>
      <c r="G41" s="37" t="s">
        <v>115</v>
      </c>
      <c r="H41" s="37" t="s">
        <v>236</v>
      </c>
      <c r="I41" s="37" t="s">
        <v>86</v>
      </c>
      <c r="J41" s="37">
        <v>2.2999999999999998</v>
      </c>
      <c r="K41" s="37" t="s">
        <v>102</v>
      </c>
      <c r="L41" s="70" t="s">
        <v>93</v>
      </c>
    </row>
    <row r="42" spans="1:12">
      <c r="A42" s="55" t="s">
        <v>204</v>
      </c>
      <c r="B42" s="37" t="s">
        <v>31</v>
      </c>
      <c r="C42" s="75">
        <v>35</v>
      </c>
      <c r="D42" s="37" t="s">
        <v>233</v>
      </c>
      <c r="E42" s="37" t="s">
        <v>77</v>
      </c>
      <c r="F42" s="76">
        <v>9644118112</v>
      </c>
      <c r="G42" s="37" t="s">
        <v>134</v>
      </c>
      <c r="H42" s="37" t="s">
        <v>236</v>
      </c>
      <c r="I42" s="37" t="s">
        <v>88</v>
      </c>
      <c r="J42" s="37">
        <v>4.5</v>
      </c>
      <c r="K42" s="37" t="s">
        <v>102</v>
      </c>
      <c r="L42" s="70" t="s">
        <v>89</v>
      </c>
    </row>
    <row r="43" spans="1:12">
      <c r="A43" s="55" t="s">
        <v>205</v>
      </c>
      <c r="B43" s="37" t="s">
        <v>32</v>
      </c>
      <c r="C43" s="75">
        <v>34</v>
      </c>
      <c r="D43" s="37" t="s">
        <v>233</v>
      </c>
      <c r="E43" s="37" t="s">
        <v>80</v>
      </c>
      <c r="F43" s="76">
        <v>9644118112</v>
      </c>
      <c r="G43" s="37" t="s">
        <v>135</v>
      </c>
      <c r="H43" s="37" t="s">
        <v>236</v>
      </c>
      <c r="I43" s="37" t="s">
        <v>84</v>
      </c>
      <c r="J43" s="37">
        <v>3.3</v>
      </c>
      <c r="K43" s="37" t="s">
        <v>102</v>
      </c>
      <c r="L43" s="70" t="s">
        <v>90</v>
      </c>
    </row>
    <row r="44" spans="1:12">
      <c r="A44" s="55" t="s">
        <v>206</v>
      </c>
      <c r="B44" s="37" t="s">
        <v>33</v>
      </c>
      <c r="C44" s="75">
        <v>31</v>
      </c>
      <c r="D44" s="37" t="s">
        <v>234</v>
      </c>
      <c r="E44" s="37" t="s">
        <v>79</v>
      </c>
      <c r="F44" s="76">
        <v>9644118112</v>
      </c>
      <c r="G44" s="37" t="s">
        <v>136</v>
      </c>
      <c r="H44" s="37" t="s">
        <v>236</v>
      </c>
      <c r="I44" s="37" t="s">
        <v>88</v>
      </c>
      <c r="J44" s="37">
        <v>5.9</v>
      </c>
      <c r="K44" s="37" t="s">
        <v>101</v>
      </c>
      <c r="L44" s="70" t="s">
        <v>94</v>
      </c>
    </row>
    <row r="45" spans="1:12">
      <c r="A45" s="55" t="s">
        <v>207</v>
      </c>
      <c r="B45" s="37" t="s">
        <v>34</v>
      </c>
      <c r="C45" s="75">
        <v>29</v>
      </c>
      <c r="D45" s="37" t="s">
        <v>233</v>
      </c>
      <c r="E45" s="37" t="s">
        <v>81</v>
      </c>
      <c r="F45" s="76">
        <v>9644118112</v>
      </c>
      <c r="G45" s="37" t="s">
        <v>137</v>
      </c>
      <c r="H45" s="37" t="s">
        <v>235</v>
      </c>
      <c r="I45" s="37" t="s">
        <v>84</v>
      </c>
      <c r="J45" s="37">
        <v>2.8</v>
      </c>
      <c r="K45" s="37" t="s">
        <v>97</v>
      </c>
      <c r="L45" s="70" t="s">
        <v>89</v>
      </c>
    </row>
    <row r="46" spans="1:12">
      <c r="A46" s="55" t="s">
        <v>208</v>
      </c>
      <c r="B46" s="37" t="s">
        <v>35</v>
      </c>
      <c r="C46" s="75">
        <v>24</v>
      </c>
      <c r="D46" s="37" t="s">
        <v>234</v>
      </c>
      <c r="E46" s="37" t="s">
        <v>78</v>
      </c>
      <c r="F46" s="76">
        <v>9644118112</v>
      </c>
      <c r="G46" s="37" t="s">
        <v>138</v>
      </c>
      <c r="H46" s="37" t="s">
        <v>237</v>
      </c>
      <c r="I46" s="37" t="s">
        <v>86</v>
      </c>
      <c r="J46" s="37">
        <v>3.6</v>
      </c>
      <c r="K46" s="37" t="s">
        <v>101</v>
      </c>
      <c r="L46" s="70" t="s">
        <v>89</v>
      </c>
    </row>
    <row r="47" spans="1:12">
      <c r="A47" s="55" t="s">
        <v>209</v>
      </c>
      <c r="B47" s="37" t="s">
        <v>4</v>
      </c>
      <c r="C47" s="75">
        <v>28</v>
      </c>
      <c r="D47" s="37" t="s">
        <v>233</v>
      </c>
      <c r="E47" s="37" t="s">
        <v>77</v>
      </c>
      <c r="F47" s="76">
        <v>9644118112</v>
      </c>
      <c r="G47" s="37" t="s">
        <v>107</v>
      </c>
      <c r="H47" s="37" t="s">
        <v>235</v>
      </c>
      <c r="I47" s="37" t="s">
        <v>85</v>
      </c>
      <c r="J47" s="37">
        <v>3.8</v>
      </c>
      <c r="K47" s="37" t="s">
        <v>98</v>
      </c>
      <c r="L47" s="70" t="s">
        <v>95</v>
      </c>
    </row>
    <row r="48" spans="1:12">
      <c r="A48" s="55" t="s">
        <v>205</v>
      </c>
      <c r="B48" s="37" t="s">
        <v>36</v>
      </c>
      <c r="C48" s="75">
        <v>27</v>
      </c>
      <c r="D48" s="37" t="s">
        <v>233</v>
      </c>
      <c r="E48" s="37" t="s">
        <v>80</v>
      </c>
      <c r="F48" s="76">
        <v>9644118112</v>
      </c>
      <c r="G48" s="37" t="s">
        <v>139</v>
      </c>
      <c r="H48" s="37" t="s">
        <v>235</v>
      </c>
      <c r="I48" s="37" t="s">
        <v>88</v>
      </c>
      <c r="J48" s="37">
        <v>4.5</v>
      </c>
      <c r="K48" s="37" t="s">
        <v>98</v>
      </c>
      <c r="L48" s="70" t="s">
        <v>93</v>
      </c>
    </row>
    <row r="49" spans="1:12">
      <c r="A49" s="55" t="s">
        <v>210</v>
      </c>
      <c r="B49" s="37" t="s">
        <v>37</v>
      </c>
      <c r="C49" s="75">
        <v>25</v>
      </c>
      <c r="D49" s="37" t="s">
        <v>233</v>
      </c>
      <c r="E49" s="37" t="s">
        <v>81</v>
      </c>
      <c r="F49" s="76">
        <v>9644118112</v>
      </c>
      <c r="G49" s="37" t="s">
        <v>140</v>
      </c>
      <c r="H49" s="37" t="s">
        <v>235</v>
      </c>
      <c r="I49" s="37" t="s">
        <v>86</v>
      </c>
      <c r="J49" s="37">
        <v>1.4</v>
      </c>
      <c r="K49" s="37" t="s">
        <v>99</v>
      </c>
      <c r="L49" s="70" t="s">
        <v>91</v>
      </c>
    </row>
    <row r="50" spans="1:12">
      <c r="A50" s="55" t="s">
        <v>211</v>
      </c>
      <c r="B50" s="37" t="s">
        <v>38</v>
      </c>
      <c r="C50" s="75">
        <v>26</v>
      </c>
      <c r="D50" s="37" t="s">
        <v>233</v>
      </c>
      <c r="E50" s="37" t="s">
        <v>76</v>
      </c>
      <c r="F50" s="76">
        <v>9644118112</v>
      </c>
      <c r="G50" s="37" t="s">
        <v>141</v>
      </c>
      <c r="H50" s="37" t="s">
        <v>235</v>
      </c>
      <c r="I50" s="37" t="s">
        <v>88</v>
      </c>
      <c r="J50" s="37">
        <v>2.5</v>
      </c>
      <c r="K50" s="37" t="s">
        <v>100</v>
      </c>
      <c r="L50" s="70" t="s">
        <v>94</v>
      </c>
    </row>
    <row r="51" spans="1:12">
      <c r="A51" s="55" t="s">
        <v>212</v>
      </c>
      <c r="B51" s="37" t="s">
        <v>39</v>
      </c>
      <c r="C51" s="75">
        <v>30</v>
      </c>
      <c r="D51" s="37" t="s">
        <v>233</v>
      </c>
      <c r="E51" s="37" t="s">
        <v>78</v>
      </c>
      <c r="F51" s="76">
        <v>9644118112</v>
      </c>
      <c r="G51" s="37" t="s">
        <v>142</v>
      </c>
      <c r="H51" s="37" t="s">
        <v>236</v>
      </c>
      <c r="I51" s="37" t="s">
        <v>86</v>
      </c>
      <c r="J51" s="37">
        <v>1</v>
      </c>
      <c r="K51" s="37" t="s">
        <v>98</v>
      </c>
      <c r="L51" s="70" t="s">
        <v>92</v>
      </c>
    </row>
    <row r="52" spans="1:12">
      <c r="A52" s="55" t="s">
        <v>213</v>
      </c>
      <c r="B52" s="37" t="s">
        <v>40</v>
      </c>
      <c r="C52" s="75">
        <v>26</v>
      </c>
      <c r="D52" s="37" t="s">
        <v>234</v>
      </c>
      <c r="E52" s="37" t="s">
        <v>83</v>
      </c>
      <c r="F52" s="76">
        <v>9644118112</v>
      </c>
      <c r="G52" s="37" t="s">
        <v>143</v>
      </c>
      <c r="H52" s="37" t="s">
        <v>235</v>
      </c>
      <c r="I52" s="37" t="s">
        <v>88</v>
      </c>
      <c r="J52" s="37">
        <v>2.8</v>
      </c>
      <c r="K52" s="37" t="s">
        <v>97</v>
      </c>
      <c r="L52" s="70" t="s">
        <v>94</v>
      </c>
    </row>
    <row r="53" spans="1:12">
      <c r="A53" s="55" t="s">
        <v>173</v>
      </c>
      <c r="B53" s="37" t="s">
        <v>24</v>
      </c>
      <c r="C53" s="75">
        <v>24</v>
      </c>
      <c r="D53" s="37" t="s">
        <v>234</v>
      </c>
      <c r="E53" s="37" t="s">
        <v>83</v>
      </c>
      <c r="F53" s="76">
        <v>9644118112</v>
      </c>
      <c r="G53" s="37" t="s">
        <v>127</v>
      </c>
      <c r="H53" s="37" t="s">
        <v>237</v>
      </c>
      <c r="I53" s="37" t="s">
        <v>85</v>
      </c>
      <c r="J53" s="37">
        <v>2.9</v>
      </c>
      <c r="K53" s="37" t="s">
        <v>101</v>
      </c>
      <c r="L53" s="70" t="s">
        <v>91</v>
      </c>
    </row>
    <row r="54" spans="1:12">
      <c r="A54" s="55" t="s">
        <v>169</v>
      </c>
      <c r="B54" s="37" t="s">
        <v>30</v>
      </c>
      <c r="C54" s="75">
        <v>32</v>
      </c>
      <c r="D54" s="37" t="s">
        <v>233</v>
      </c>
      <c r="E54" s="37" t="s">
        <v>76</v>
      </c>
      <c r="F54" s="76">
        <v>9644118112</v>
      </c>
      <c r="G54" s="37" t="s">
        <v>133</v>
      </c>
      <c r="H54" s="37" t="s">
        <v>236</v>
      </c>
      <c r="I54" s="37" t="s">
        <v>85</v>
      </c>
      <c r="J54" s="37">
        <v>3.3</v>
      </c>
      <c r="K54" s="37" t="s">
        <v>100</v>
      </c>
      <c r="L54" s="70" t="s">
        <v>89</v>
      </c>
    </row>
    <row r="55" spans="1:12">
      <c r="A55" s="55" t="s">
        <v>170</v>
      </c>
      <c r="B55" s="37" t="s">
        <v>41</v>
      </c>
      <c r="C55" s="75">
        <v>34</v>
      </c>
      <c r="D55" s="37" t="s">
        <v>233</v>
      </c>
      <c r="E55" s="37" t="s">
        <v>76</v>
      </c>
      <c r="F55" s="76">
        <v>9644118112</v>
      </c>
      <c r="G55" s="37" t="s">
        <v>144</v>
      </c>
      <c r="H55" s="37" t="s">
        <v>236</v>
      </c>
      <c r="I55" s="37" t="s">
        <v>84</v>
      </c>
      <c r="J55" s="37">
        <v>2.4</v>
      </c>
      <c r="K55" s="37" t="s">
        <v>102</v>
      </c>
      <c r="L55" s="70" t="s">
        <v>95</v>
      </c>
    </row>
    <row r="56" spans="1:12">
      <c r="A56" s="55" t="s">
        <v>171</v>
      </c>
      <c r="B56" s="37" t="s">
        <v>42</v>
      </c>
      <c r="C56" s="75">
        <v>25</v>
      </c>
      <c r="D56" s="37" t="s">
        <v>233</v>
      </c>
      <c r="E56" s="37" t="s">
        <v>78</v>
      </c>
      <c r="F56" s="76">
        <v>9644118112</v>
      </c>
      <c r="G56" s="37" t="s">
        <v>145</v>
      </c>
      <c r="H56" s="37" t="s">
        <v>235</v>
      </c>
      <c r="I56" s="37" t="s">
        <v>88</v>
      </c>
      <c r="J56" s="37">
        <v>2.1</v>
      </c>
      <c r="K56" s="37" t="s">
        <v>99</v>
      </c>
      <c r="L56" s="70" t="s">
        <v>95</v>
      </c>
    </row>
    <row r="57" spans="1:12">
      <c r="A57" s="55" t="s">
        <v>172</v>
      </c>
      <c r="B57" s="37" t="s">
        <v>43</v>
      </c>
      <c r="C57" s="75">
        <v>32</v>
      </c>
      <c r="D57" s="37" t="s">
        <v>234</v>
      </c>
      <c r="E57" s="37" t="s">
        <v>83</v>
      </c>
      <c r="F57" s="76">
        <v>9644118112</v>
      </c>
      <c r="G57" s="37" t="s">
        <v>146</v>
      </c>
      <c r="H57" s="37" t="s">
        <v>236</v>
      </c>
      <c r="I57" s="37" t="s">
        <v>85</v>
      </c>
      <c r="J57" s="37">
        <v>3.3</v>
      </c>
      <c r="K57" s="37" t="s">
        <v>97</v>
      </c>
      <c r="L57" s="70" t="s">
        <v>96</v>
      </c>
    </row>
    <row r="58" spans="1:12">
      <c r="A58" s="55" t="s">
        <v>173</v>
      </c>
      <c r="B58" s="37" t="s">
        <v>44</v>
      </c>
      <c r="C58" s="75">
        <v>33</v>
      </c>
      <c r="D58" s="37" t="s">
        <v>233</v>
      </c>
      <c r="E58" s="37" t="s">
        <v>79</v>
      </c>
      <c r="F58" s="76">
        <v>9644118112</v>
      </c>
      <c r="G58" s="37" t="s">
        <v>147</v>
      </c>
      <c r="H58" s="37" t="s">
        <v>236</v>
      </c>
      <c r="I58" s="37" t="s">
        <v>88</v>
      </c>
      <c r="J58" s="37">
        <v>2.2000000000000002</v>
      </c>
      <c r="K58" s="37" t="s">
        <v>97</v>
      </c>
      <c r="L58" s="70" t="s">
        <v>93</v>
      </c>
    </row>
    <row r="59" spans="1:12">
      <c r="A59" s="55" t="s">
        <v>174</v>
      </c>
      <c r="B59" s="37" t="s">
        <v>45</v>
      </c>
      <c r="C59" s="75">
        <v>32</v>
      </c>
      <c r="D59" s="37" t="s">
        <v>233</v>
      </c>
      <c r="E59" s="37" t="s">
        <v>77</v>
      </c>
      <c r="F59" s="76">
        <v>9644118112</v>
      </c>
      <c r="G59" s="37" t="s">
        <v>148</v>
      </c>
      <c r="H59" s="37" t="s">
        <v>236</v>
      </c>
      <c r="I59" s="37" t="s">
        <v>87</v>
      </c>
      <c r="J59" s="37">
        <v>4.3</v>
      </c>
      <c r="K59" s="37" t="s">
        <v>102</v>
      </c>
      <c r="L59" s="70" t="s">
        <v>96</v>
      </c>
    </row>
    <row r="60" spans="1:12">
      <c r="A60" s="55" t="s">
        <v>175</v>
      </c>
      <c r="B60" s="37" t="s">
        <v>46</v>
      </c>
      <c r="C60" s="75">
        <v>27</v>
      </c>
      <c r="D60" s="37" t="s">
        <v>233</v>
      </c>
      <c r="E60" s="37" t="s">
        <v>79</v>
      </c>
      <c r="F60" s="76">
        <v>9644118112</v>
      </c>
      <c r="G60" s="37" t="s">
        <v>149</v>
      </c>
      <c r="H60" s="37" t="s">
        <v>235</v>
      </c>
      <c r="I60" s="37" t="s">
        <v>87</v>
      </c>
      <c r="J60" s="37">
        <v>1.2</v>
      </c>
      <c r="K60" s="37" t="s">
        <v>102</v>
      </c>
      <c r="L60" s="70" t="s">
        <v>89</v>
      </c>
    </row>
    <row r="61" spans="1:12">
      <c r="A61" s="55" t="s">
        <v>176</v>
      </c>
      <c r="B61" s="37" t="s">
        <v>47</v>
      </c>
      <c r="C61" s="75">
        <v>30</v>
      </c>
      <c r="D61" s="37" t="s">
        <v>234</v>
      </c>
      <c r="E61" s="37" t="s">
        <v>78</v>
      </c>
      <c r="F61" s="76">
        <v>9644118112</v>
      </c>
      <c r="G61" s="37" t="s">
        <v>150</v>
      </c>
      <c r="H61" s="37" t="s">
        <v>236</v>
      </c>
      <c r="I61" s="37" t="s">
        <v>86</v>
      </c>
      <c r="J61" s="37">
        <v>4.5</v>
      </c>
      <c r="K61" s="37" t="s">
        <v>102</v>
      </c>
      <c r="L61" s="70" t="s">
        <v>90</v>
      </c>
    </row>
    <row r="62" spans="1:12">
      <c r="A62" s="55" t="s">
        <v>177</v>
      </c>
      <c r="B62" s="37" t="s">
        <v>48</v>
      </c>
      <c r="C62" s="75">
        <v>27</v>
      </c>
      <c r="D62" s="37" t="s">
        <v>233</v>
      </c>
      <c r="E62" s="37" t="s">
        <v>76</v>
      </c>
      <c r="F62" s="76">
        <v>9644118112</v>
      </c>
      <c r="G62" s="37" t="s">
        <v>151</v>
      </c>
      <c r="H62" s="37" t="s">
        <v>235</v>
      </c>
      <c r="I62" s="37" t="s">
        <v>85</v>
      </c>
      <c r="J62" s="37">
        <v>1.6</v>
      </c>
      <c r="K62" s="37" t="s">
        <v>100</v>
      </c>
      <c r="L62" s="70" t="s">
        <v>94</v>
      </c>
    </row>
    <row r="63" spans="1:12">
      <c r="A63" s="55" t="s">
        <v>214</v>
      </c>
      <c r="B63" s="37" t="s">
        <v>49</v>
      </c>
      <c r="C63" s="75">
        <v>32</v>
      </c>
      <c r="D63" s="37" t="s">
        <v>233</v>
      </c>
      <c r="E63" s="37" t="s">
        <v>80</v>
      </c>
      <c r="F63" s="76">
        <v>9644118112</v>
      </c>
      <c r="G63" s="37" t="s">
        <v>152</v>
      </c>
      <c r="H63" s="37" t="s">
        <v>236</v>
      </c>
      <c r="I63" s="37" t="s">
        <v>85</v>
      </c>
      <c r="J63" s="37">
        <v>4.8</v>
      </c>
      <c r="K63" s="37" t="s">
        <v>102</v>
      </c>
      <c r="L63" s="70" t="s">
        <v>89</v>
      </c>
    </row>
    <row r="64" spans="1:12">
      <c r="A64" s="55" t="s">
        <v>215</v>
      </c>
      <c r="B64" s="37" t="s">
        <v>50</v>
      </c>
      <c r="C64" s="75">
        <v>34</v>
      </c>
      <c r="D64" s="37" t="s">
        <v>233</v>
      </c>
      <c r="E64" s="37" t="s">
        <v>83</v>
      </c>
      <c r="F64" s="76">
        <v>9644118112</v>
      </c>
      <c r="G64" s="37" t="s">
        <v>153</v>
      </c>
      <c r="H64" s="37" t="s">
        <v>236</v>
      </c>
      <c r="I64" s="37" t="s">
        <v>86</v>
      </c>
      <c r="J64" s="37">
        <v>1.1000000000000001</v>
      </c>
      <c r="K64" s="37" t="s">
        <v>101</v>
      </c>
      <c r="L64" s="70" t="s">
        <v>92</v>
      </c>
    </row>
    <row r="65" spans="1:12">
      <c r="A65" s="55" t="s">
        <v>216</v>
      </c>
      <c r="B65" s="37" t="s">
        <v>51</v>
      </c>
      <c r="C65" s="75">
        <v>29</v>
      </c>
      <c r="D65" s="37" t="s">
        <v>234</v>
      </c>
      <c r="E65" s="37" t="s">
        <v>79</v>
      </c>
      <c r="F65" s="76">
        <v>9644118112</v>
      </c>
      <c r="G65" s="37" t="s">
        <v>154</v>
      </c>
      <c r="H65" s="37" t="s">
        <v>235</v>
      </c>
      <c r="I65" s="37" t="s">
        <v>84</v>
      </c>
      <c r="J65" s="37">
        <v>5.3</v>
      </c>
      <c r="K65" s="37" t="s">
        <v>102</v>
      </c>
      <c r="L65" s="70" t="s">
        <v>90</v>
      </c>
    </row>
    <row r="66" spans="1:12">
      <c r="A66" s="55" t="s">
        <v>217</v>
      </c>
      <c r="B66" s="37" t="s">
        <v>52</v>
      </c>
      <c r="C66" s="75">
        <v>27</v>
      </c>
      <c r="D66" s="37" t="s">
        <v>234</v>
      </c>
      <c r="E66" s="37" t="s">
        <v>78</v>
      </c>
      <c r="F66" s="76">
        <v>9644118112</v>
      </c>
      <c r="G66" s="37" t="s">
        <v>155</v>
      </c>
      <c r="H66" s="37" t="s">
        <v>235</v>
      </c>
      <c r="I66" s="37" t="s">
        <v>86</v>
      </c>
      <c r="J66" s="37">
        <v>2.9</v>
      </c>
      <c r="K66" s="37" t="s">
        <v>100</v>
      </c>
      <c r="L66" s="70" t="s">
        <v>89</v>
      </c>
    </row>
    <row r="67" spans="1:12">
      <c r="A67" s="55" t="s">
        <v>218</v>
      </c>
      <c r="B67" s="37" t="s">
        <v>53</v>
      </c>
      <c r="C67" s="75">
        <v>24</v>
      </c>
      <c r="D67" s="37" t="s">
        <v>234</v>
      </c>
      <c r="E67" s="37" t="s">
        <v>78</v>
      </c>
      <c r="F67" s="76">
        <v>9644118112</v>
      </c>
      <c r="G67" s="37" t="s">
        <v>156</v>
      </c>
      <c r="H67" s="37" t="s">
        <v>237</v>
      </c>
      <c r="I67" s="37" t="s">
        <v>84</v>
      </c>
      <c r="J67" s="37">
        <v>5.7</v>
      </c>
      <c r="K67" s="37" t="s">
        <v>101</v>
      </c>
      <c r="L67" s="70" t="s">
        <v>90</v>
      </c>
    </row>
    <row r="68" spans="1:12">
      <c r="A68" s="55" t="s">
        <v>214</v>
      </c>
      <c r="B68" s="37" t="s">
        <v>54</v>
      </c>
      <c r="C68" s="75">
        <v>26</v>
      </c>
      <c r="D68" s="37" t="s">
        <v>233</v>
      </c>
      <c r="E68" s="37" t="s">
        <v>76</v>
      </c>
      <c r="F68" s="76">
        <v>9644118112</v>
      </c>
      <c r="G68" s="37" t="s">
        <v>157</v>
      </c>
      <c r="H68" s="37" t="s">
        <v>235</v>
      </c>
      <c r="I68" s="37" t="s">
        <v>86</v>
      </c>
      <c r="J68" s="37">
        <v>2</v>
      </c>
      <c r="K68" s="37" t="s">
        <v>97</v>
      </c>
      <c r="L68" s="70" t="s">
        <v>94</v>
      </c>
    </row>
    <row r="69" spans="1:12">
      <c r="A69" s="55" t="s">
        <v>219</v>
      </c>
      <c r="B69" s="37" t="s">
        <v>55</v>
      </c>
      <c r="C69" s="75">
        <v>31</v>
      </c>
      <c r="D69" s="37" t="s">
        <v>234</v>
      </c>
      <c r="E69" s="37" t="s">
        <v>77</v>
      </c>
      <c r="F69" s="76">
        <v>9644118112</v>
      </c>
      <c r="G69" s="37" t="s">
        <v>158</v>
      </c>
      <c r="H69" s="37" t="s">
        <v>236</v>
      </c>
      <c r="I69" s="37" t="s">
        <v>85</v>
      </c>
      <c r="J69" s="37">
        <v>3.9</v>
      </c>
      <c r="K69" s="37" t="s">
        <v>98</v>
      </c>
      <c r="L69" s="70" t="s">
        <v>94</v>
      </c>
    </row>
    <row r="70" spans="1:12">
      <c r="A70" s="55" t="s">
        <v>220</v>
      </c>
      <c r="B70" s="37" t="s">
        <v>56</v>
      </c>
      <c r="C70" s="75">
        <v>27</v>
      </c>
      <c r="D70" s="37" t="s">
        <v>233</v>
      </c>
      <c r="E70" s="37" t="s">
        <v>79</v>
      </c>
      <c r="F70" s="76">
        <v>9644118112</v>
      </c>
      <c r="G70" s="37" t="s">
        <v>159</v>
      </c>
      <c r="H70" s="37" t="s">
        <v>235</v>
      </c>
      <c r="I70" s="37" t="s">
        <v>84</v>
      </c>
      <c r="J70" s="37">
        <v>5.6</v>
      </c>
      <c r="K70" s="37" t="s">
        <v>98</v>
      </c>
      <c r="L70" s="70" t="s">
        <v>91</v>
      </c>
    </row>
    <row r="71" spans="1:12">
      <c r="A71" s="55" t="s">
        <v>221</v>
      </c>
      <c r="B71" s="37" t="s">
        <v>57</v>
      </c>
      <c r="C71" s="75">
        <v>25</v>
      </c>
      <c r="D71" s="37" t="s">
        <v>233</v>
      </c>
      <c r="E71" s="37" t="s">
        <v>82</v>
      </c>
      <c r="F71" s="76">
        <v>9644118112</v>
      </c>
      <c r="G71" s="37" t="s">
        <v>160</v>
      </c>
      <c r="H71" s="37" t="s">
        <v>235</v>
      </c>
      <c r="I71" s="37" t="s">
        <v>85</v>
      </c>
      <c r="J71" s="37">
        <v>4.0999999999999996</v>
      </c>
      <c r="K71" s="37" t="s">
        <v>97</v>
      </c>
      <c r="L71" s="70" t="s">
        <v>96</v>
      </c>
    </row>
    <row r="72" spans="1:12">
      <c r="A72" s="55" t="s">
        <v>222</v>
      </c>
      <c r="B72" s="37" t="s">
        <v>58</v>
      </c>
      <c r="C72" s="75">
        <v>28</v>
      </c>
      <c r="D72" s="37" t="s">
        <v>234</v>
      </c>
      <c r="E72" s="37" t="s">
        <v>83</v>
      </c>
      <c r="F72" s="76">
        <v>9644118112</v>
      </c>
      <c r="G72" s="37" t="s">
        <v>161</v>
      </c>
      <c r="H72" s="37" t="s">
        <v>235</v>
      </c>
      <c r="I72" s="37" t="s">
        <v>88</v>
      </c>
      <c r="J72" s="37">
        <v>3.6</v>
      </c>
      <c r="K72" s="37" t="s">
        <v>98</v>
      </c>
      <c r="L72" s="70" t="s">
        <v>95</v>
      </c>
    </row>
    <row r="73" spans="1:12">
      <c r="A73" s="55" t="s">
        <v>223</v>
      </c>
      <c r="B73" s="37" t="s">
        <v>59</v>
      </c>
      <c r="C73" s="75">
        <v>27</v>
      </c>
      <c r="D73" s="37" t="s">
        <v>233</v>
      </c>
      <c r="E73" s="37" t="s">
        <v>76</v>
      </c>
      <c r="F73" s="76">
        <v>9644118112</v>
      </c>
      <c r="G73" s="37" t="s">
        <v>162</v>
      </c>
      <c r="H73" s="37" t="s">
        <v>235</v>
      </c>
      <c r="I73" s="37" t="s">
        <v>88</v>
      </c>
      <c r="J73" s="37">
        <v>1.3</v>
      </c>
      <c r="K73" s="37" t="s">
        <v>98</v>
      </c>
      <c r="L73" s="70" t="s">
        <v>90</v>
      </c>
    </row>
    <row r="74" spans="1:12">
      <c r="A74" s="55" t="s">
        <v>224</v>
      </c>
      <c r="B74" s="37" t="s">
        <v>60</v>
      </c>
      <c r="C74" s="75">
        <v>26</v>
      </c>
      <c r="D74" s="37" t="s">
        <v>234</v>
      </c>
      <c r="E74" s="37" t="s">
        <v>83</v>
      </c>
      <c r="F74" s="76">
        <v>9644118112</v>
      </c>
      <c r="G74" s="37" t="s">
        <v>163</v>
      </c>
      <c r="H74" s="37" t="s">
        <v>235</v>
      </c>
      <c r="I74" s="37" t="s">
        <v>85</v>
      </c>
      <c r="J74" s="37">
        <v>3.4</v>
      </c>
      <c r="K74" s="37" t="s">
        <v>101</v>
      </c>
      <c r="L74" s="70" t="s">
        <v>96</v>
      </c>
    </row>
    <row r="75" spans="1:12">
      <c r="A75" s="55" t="s">
        <v>225</v>
      </c>
      <c r="B75" s="37" t="s">
        <v>61</v>
      </c>
      <c r="C75" s="75">
        <v>34</v>
      </c>
      <c r="D75" s="37" t="s">
        <v>234</v>
      </c>
      <c r="E75" s="37" t="s">
        <v>81</v>
      </c>
      <c r="F75" s="76">
        <v>9644118112</v>
      </c>
      <c r="G75" s="37" t="s">
        <v>164</v>
      </c>
      <c r="H75" s="37" t="s">
        <v>236</v>
      </c>
      <c r="I75" s="37" t="s">
        <v>85</v>
      </c>
      <c r="J75" s="37">
        <v>1</v>
      </c>
      <c r="K75" s="37" t="s">
        <v>100</v>
      </c>
      <c r="L75" s="70" t="s">
        <v>94</v>
      </c>
    </row>
    <row r="76" spans="1:12">
      <c r="A76" s="55" t="s">
        <v>226</v>
      </c>
      <c r="B76" s="37" t="s">
        <v>62</v>
      </c>
      <c r="C76" s="75">
        <v>25</v>
      </c>
      <c r="D76" s="37" t="s">
        <v>234</v>
      </c>
      <c r="E76" s="37" t="s">
        <v>79</v>
      </c>
      <c r="F76" s="76">
        <v>9644118112</v>
      </c>
      <c r="G76" s="37" t="s">
        <v>165</v>
      </c>
      <c r="H76" s="37" t="s">
        <v>235</v>
      </c>
      <c r="I76" s="37" t="s">
        <v>88</v>
      </c>
      <c r="J76" s="37">
        <v>2.2999999999999998</v>
      </c>
      <c r="K76" s="37" t="s">
        <v>98</v>
      </c>
      <c r="L76" s="70" t="s">
        <v>96</v>
      </c>
    </row>
    <row r="77" spans="1:12">
      <c r="A77" s="55" t="s">
        <v>227</v>
      </c>
      <c r="B77" s="37" t="s">
        <v>63</v>
      </c>
      <c r="C77" s="75">
        <v>30</v>
      </c>
      <c r="D77" s="37" t="s">
        <v>234</v>
      </c>
      <c r="E77" s="37" t="s">
        <v>76</v>
      </c>
      <c r="F77" s="76">
        <v>9644118112</v>
      </c>
      <c r="G77" s="37" t="s">
        <v>166</v>
      </c>
      <c r="H77" s="37" t="s">
        <v>236</v>
      </c>
      <c r="I77" s="37" t="s">
        <v>87</v>
      </c>
      <c r="J77" s="37">
        <v>3.8</v>
      </c>
      <c r="K77" s="37" t="s">
        <v>100</v>
      </c>
      <c r="L77" s="70" t="s">
        <v>94</v>
      </c>
    </row>
    <row r="78" spans="1:12">
      <c r="A78" s="55" t="s">
        <v>223</v>
      </c>
      <c r="B78" s="37" t="s">
        <v>64</v>
      </c>
      <c r="C78" s="75">
        <v>27</v>
      </c>
      <c r="D78" s="37" t="s">
        <v>233</v>
      </c>
      <c r="E78" s="37" t="s">
        <v>79</v>
      </c>
      <c r="F78" s="76">
        <v>9644118112</v>
      </c>
      <c r="G78" s="37" t="s">
        <v>167</v>
      </c>
      <c r="H78" s="37" t="s">
        <v>235</v>
      </c>
      <c r="I78" s="37" t="s">
        <v>84</v>
      </c>
      <c r="J78" s="37">
        <v>5.9</v>
      </c>
      <c r="K78" s="37" t="s">
        <v>102</v>
      </c>
      <c r="L78" s="70" t="s">
        <v>90</v>
      </c>
    </row>
    <row r="79" spans="1:12">
      <c r="A79" s="55" t="s">
        <v>228</v>
      </c>
      <c r="B79" s="37" t="s">
        <v>65</v>
      </c>
      <c r="C79" s="75">
        <v>32</v>
      </c>
      <c r="D79" s="37" t="s">
        <v>233</v>
      </c>
      <c r="E79" s="37" t="s">
        <v>83</v>
      </c>
      <c r="F79" s="76">
        <v>9644118112</v>
      </c>
      <c r="G79" s="37" t="s">
        <v>168</v>
      </c>
      <c r="H79" s="37" t="s">
        <v>236</v>
      </c>
      <c r="I79" s="37" t="s">
        <v>85</v>
      </c>
      <c r="J79" s="37">
        <v>4.7</v>
      </c>
      <c r="K79" s="37" t="s">
        <v>101</v>
      </c>
      <c r="L79" s="70" t="s">
        <v>92</v>
      </c>
    </row>
    <row r="80" spans="1:12">
      <c r="A80" s="55" t="s">
        <v>229</v>
      </c>
      <c r="B80" s="37" t="s">
        <v>55</v>
      </c>
      <c r="C80" s="75">
        <v>23</v>
      </c>
      <c r="D80" s="37" t="s">
        <v>234</v>
      </c>
      <c r="E80" s="37" t="s">
        <v>77</v>
      </c>
      <c r="F80" s="76">
        <v>9644118112</v>
      </c>
      <c r="G80" s="37" t="s">
        <v>158</v>
      </c>
      <c r="H80" s="37" t="s">
        <v>237</v>
      </c>
      <c r="I80" s="37" t="s">
        <v>88</v>
      </c>
      <c r="J80" s="37">
        <v>5.0999999999999996</v>
      </c>
      <c r="K80" s="37" t="s">
        <v>99</v>
      </c>
      <c r="L80" s="70" t="s">
        <v>92</v>
      </c>
    </row>
    <row r="81" spans="1:12">
      <c r="A81" s="55" t="s">
        <v>230</v>
      </c>
      <c r="B81" s="37" t="s">
        <v>51</v>
      </c>
      <c r="C81" s="75">
        <v>34</v>
      </c>
      <c r="D81" s="37" t="s">
        <v>234</v>
      </c>
      <c r="E81" s="37" t="s">
        <v>81</v>
      </c>
      <c r="F81" s="76">
        <v>9644118112</v>
      </c>
      <c r="G81" s="37" t="s">
        <v>154</v>
      </c>
      <c r="H81" s="37" t="s">
        <v>236</v>
      </c>
      <c r="I81" s="37" t="s">
        <v>85</v>
      </c>
      <c r="J81" s="37">
        <v>2</v>
      </c>
      <c r="K81" s="37" t="s">
        <v>102</v>
      </c>
      <c r="L81" s="70" t="s">
        <v>89</v>
      </c>
    </row>
    <row r="82" spans="1:12">
      <c r="A82" s="55" t="s">
        <v>231</v>
      </c>
      <c r="B82" s="37" t="s">
        <v>12</v>
      </c>
      <c r="C82" s="75">
        <v>25</v>
      </c>
      <c r="D82" s="37" t="s">
        <v>234</v>
      </c>
      <c r="E82" s="37" t="s">
        <v>82</v>
      </c>
      <c r="F82" s="76">
        <v>9644118112</v>
      </c>
      <c r="G82" s="37" t="s">
        <v>115</v>
      </c>
      <c r="H82" s="37" t="s">
        <v>235</v>
      </c>
      <c r="I82" s="37" t="s">
        <v>87</v>
      </c>
      <c r="J82" s="37">
        <v>3</v>
      </c>
      <c r="K82" s="37" t="s">
        <v>98</v>
      </c>
      <c r="L82" s="70" t="s">
        <v>94</v>
      </c>
    </row>
    <row r="83" spans="1:12">
      <c r="A83" s="59" t="s">
        <v>232</v>
      </c>
      <c r="B83" s="51" t="s">
        <v>48</v>
      </c>
      <c r="C83" s="77">
        <v>31</v>
      </c>
      <c r="D83" s="51" t="s">
        <v>233</v>
      </c>
      <c r="E83" s="51" t="s">
        <v>77</v>
      </c>
      <c r="F83" s="78">
        <v>9644118112</v>
      </c>
      <c r="G83" s="51" t="s">
        <v>151</v>
      </c>
      <c r="H83" s="51" t="s">
        <v>236</v>
      </c>
      <c r="I83" s="51" t="s">
        <v>84</v>
      </c>
      <c r="J83" s="51">
        <v>1</v>
      </c>
      <c r="K83" s="51" t="s">
        <v>98</v>
      </c>
      <c r="L83" s="63" t="s">
        <v>95</v>
      </c>
    </row>
    <row r="85" spans="1:12">
      <c r="K85" s="1">
        <f>COUNTIF(K5:K83,"M.COM")</f>
        <v>15</v>
      </c>
    </row>
  </sheetData>
  <dataConsolidate/>
  <mergeCells count="1">
    <mergeCell ref="A1:L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0"/>
  <sheetViews>
    <sheetView workbookViewId="0">
      <selection activeCell="G6" sqref="G6"/>
    </sheetView>
  </sheetViews>
  <sheetFormatPr defaultRowHeight="15"/>
  <cols>
    <col min="1" max="1" width="17" style="1" customWidth="1"/>
    <col min="2" max="2" width="15.5703125" style="1" customWidth="1"/>
    <col min="3" max="3" width="24.140625" style="1" customWidth="1"/>
    <col min="4" max="4" width="11.85546875" style="1" customWidth="1"/>
    <col min="5" max="5" width="27.28515625" style="1" customWidth="1"/>
    <col min="6" max="6" width="9.140625" style="1"/>
  </cols>
  <sheetData>
    <row r="1" spans="1:5" ht="15" customHeight="1">
      <c r="A1" s="98" t="s">
        <v>279</v>
      </c>
      <c r="B1" s="98"/>
      <c r="C1" s="98"/>
      <c r="D1" s="98"/>
      <c r="E1" s="98"/>
    </row>
    <row r="2" spans="1:5" ht="15" customHeight="1">
      <c r="A2" s="98"/>
      <c r="B2" s="98"/>
      <c r="C2" s="98"/>
      <c r="D2" s="98"/>
      <c r="E2" s="98"/>
    </row>
    <row r="3" spans="1:5" s="19" customFormat="1" ht="30" customHeight="1">
      <c r="A3" s="68" t="s">
        <v>67</v>
      </c>
      <c r="B3" s="69" t="s">
        <v>68</v>
      </c>
      <c r="C3" s="68" t="s">
        <v>240</v>
      </c>
      <c r="D3" s="68" t="s">
        <v>250</v>
      </c>
      <c r="E3" s="68" t="s">
        <v>251</v>
      </c>
    </row>
    <row r="4" spans="1:5">
      <c r="A4" s="37" t="s">
        <v>169</v>
      </c>
      <c r="B4" s="37" t="s">
        <v>0</v>
      </c>
      <c r="C4" s="37" t="s">
        <v>242</v>
      </c>
      <c r="D4" s="37" t="s">
        <v>254</v>
      </c>
      <c r="E4" s="37" t="s">
        <v>256</v>
      </c>
    </row>
    <row r="5" spans="1:5">
      <c r="A5" s="37" t="s">
        <v>170</v>
      </c>
      <c r="B5" s="37" t="s">
        <v>1</v>
      </c>
      <c r="C5" s="37" t="s">
        <v>243</v>
      </c>
      <c r="D5" s="37" t="s">
        <v>253</v>
      </c>
      <c r="E5" s="37" t="s">
        <v>255</v>
      </c>
    </row>
    <row r="6" spans="1:5">
      <c r="A6" s="37" t="s">
        <v>171</v>
      </c>
      <c r="B6" s="37" t="s">
        <v>2</v>
      </c>
      <c r="C6" s="37" t="s">
        <v>241</v>
      </c>
      <c r="D6" s="37" t="s">
        <v>254</v>
      </c>
      <c r="E6" s="37" t="s">
        <v>257</v>
      </c>
    </row>
    <row r="7" spans="1:5">
      <c r="A7" s="37" t="s">
        <v>172</v>
      </c>
      <c r="B7" s="37" t="s">
        <v>3</v>
      </c>
      <c r="C7" s="37" t="s">
        <v>241</v>
      </c>
      <c r="D7" s="37" t="s">
        <v>253</v>
      </c>
      <c r="E7" s="37" t="s">
        <v>255</v>
      </c>
    </row>
    <row r="8" spans="1:5">
      <c r="A8" s="37" t="s">
        <v>173</v>
      </c>
      <c r="B8" s="37" t="s">
        <v>4</v>
      </c>
      <c r="C8" s="37" t="s">
        <v>241</v>
      </c>
      <c r="D8" s="37" t="s">
        <v>253</v>
      </c>
      <c r="E8" s="37" t="s">
        <v>257</v>
      </c>
    </row>
    <row r="9" spans="1:5">
      <c r="A9" s="37" t="s">
        <v>174</v>
      </c>
      <c r="B9" s="37" t="s">
        <v>5</v>
      </c>
      <c r="C9" s="37" t="s">
        <v>241</v>
      </c>
      <c r="D9" s="37" t="s">
        <v>253</v>
      </c>
      <c r="E9" s="37" t="s">
        <v>257</v>
      </c>
    </row>
    <row r="10" spans="1:5">
      <c r="A10" s="37" t="s">
        <v>175</v>
      </c>
      <c r="B10" s="37" t="s">
        <v>6</v>
      </c>
      <c r="C10" s="37" t="s">
        <v>241</v>
      </c>
      <c r="D10" s="37" t="s">
        <v>253</v>
      </c>
      <c r="E10" s="37" t="s">
        <v>257</v>
      </c>
    </row>
    <row r="11" spans="1:5">
      <c r="A11" s="37" t="s">
        <v>176</v>
      </c>
      <c r="B11" s="37" t="s">
        <v>7</v>
      </c>
      <c r="C11" s="37" t="s">
        <v>241</v>
      </c>
      <c r="D11" s="37" t="s">
        <v>253</v>
      </c>
      <c r="E11" s="37" t="s">
        <v>257</v>
      </c>
    </row>
    <row r="12" spans="1:5">
      <c r="A12" s="37" t="s">
        <v>177</v>
      </c>
      <c r="B12" s="37" t="s">
        <v>8</v>
      </c>
      <c r="C12" s="37" t="s">
        <v>243</v>
      </c>
      <c r="D12" s="37" t="s">
        <v>253</v>
      </c>
      <c r="E12" s="37" t="s">
        <v>258</v>
      </c>
    </row>
    <row r="13" spans="1:5">
      <c r="A13" s="37" t="s">
        <v>178</v>
      </c>
      <c r="B13" s="37" t="s">
        <v>9</v>
      </c>
      <c r="C13" s="37" t="s">
        <v>246</v>
      </c>
      <c r="D13" s="37" t="s">
        <v>253</v>
      </c>
      <c r="E13" s="37" t="s">
        <v>256</v>
      </c>
    </row>
    <row r="14" spans="1:5">
      <c r="A14" s="37" t="s">
        <v>179</v>
      </c>
      <c r="B14" s="37" t="s">
        <v>10</v>
      </c>
      <c r="C14" s="37" t="s">
        <v>243</v>
      </c>
      <c r="D14" s="37" t="s">
        <v>254</v>
      </c>
      <c r="E14" s="37" t="s">
        <v>258</v>
      </c>
    </row>
    <row r="15" spans="1:5">
      <c r="A15" s="37" t="s">
        <v>180</v>
      </c>
      <c r="B15" s="37" t="s">
        <v>11</v>
      </c>
      <c r="C15" s="37" t="s">
        <v>243</v>
      </c>
      <c r="D15" s="37" t="s">
        <v>254</v>
      </c>
      <c r="E15" s="37" t="s">
        <v>257</v>
      </c>
    </row>
    <row r="16" spans="1:5">
      <c r="A16" s="37" t="s">
        <v>181</v>
      </c>
      <c r="B16" s="37" t="s">
        <v>12</v>
      </c>
      <c r="C16" s="37" t="s">
        <v>247</v>
      </c>
      <c r="D16" s="37" t="s">
        <v>253</v>
      </c>
      <c r="E16" s="37" t="s">
        <v>255</v>
      </c>
    </row>
    <row r="17" spans="1:5">
      <c r="A17" s="37" t="s">
        <v>182</v>
      </c>
      <c r="B17" s="37" t="s">
        <v>13</v>
      </c>
      <c r="C17" s="37" t="s">
        <v>244</v>
      </c>
      <c r="D17" s="37" t="s">
        <v>253</v>
      </c>
      <c r="E17" s="37" t="s">
        <v>255</v>
      </c>
    </row>
    <row r="18" spans="1:5">
      <c r="A18" s="37" t="s">
        <v>178</v>
      </c>
      <c r="B18" s="37" t="s">
        <v>14</v>
      </c>
      <c r="C18" s="37" t="s">
        <v>246</v>
      </c>
      <c r="D18" s="37" t="s">
        <v>253</v>
      </c>
      <c r="E18" s="37" t="s">
        <v>257</v>
      </c>
    </row>
    <row r="19" spans="1:5">
      <c r="A19" s="37" t="s">
        <v>183</v>
      </c>
      <c r="B19" s="37" t="s">
        <v>5</v>
      </c>
      <c r="C19" s="37" t="s">
        <v>244</v>
      </c>
      <c r="D19" s="37" t="s">
        <v>253</v>
      </c>
      <c r="E19" s="37" t="s">
        <v>257</v>
      </c>
    </row>
    <row r="20" spans="1:5">
      <c r="A20" s="37" t="s">
        <v>184</v>
      </c>
      <c r="B20" s="37" t="s">
        <v>15</v>
      </c>
      <c r="C20" s="37" t="s">
        <v>248</v>
      </c>
      <c r="D20" s="37" t="s">
        <v>253</v>
      </c>
      <c r="E20" s="37" t="s">
        <v>257</v>
      </c>
    </row>
    <row r="21" spans="1:5">
      <c r="A21" s="37" t="s">
        <v>185</v>
      </c>
      <c r="B21" s="37" t="s">
        <v>16</v>
      </c>
      <c r="C21" s="37" t="s">
        <v>242</v>
      </c>
      <c r="D21" s="37" t="s">
        <v>253</v>
      </c>
      <c r="E21" s="37" t="s">
        <v>257</v>
      </c>
    </row>
    <row r="22" spans="1:5">
      <c r="A22" s="37" t="s">
        <v>186</v>
      </c>
      <c r="B22" s="37" t="s">
        <v>17</v>
      </c>
      <c r="C22" s="37" t="s">
        <v>242</v>
      </c>
      <c r="D22" s="37" t="s">
        <v>253</v>
      </c>
      <c r="E22" s="37" t="s">
        <v>257</v>
      </c>
    </row>
    <row r="23" spans="1:5">
      <c r="A23" s="37" t="s">
        <v>187</v>
      </c>
      <c r="B23" s="37" t="s">
        <v>18</v>
      </c>
      <c r="C23" s="37" t="s">
        <v>242</v>
      </c>
      <c r="D23" s="37" t="s">
        <v>253</v>
      </c>
      <c r="E23" s="37" t="s">
        <v>257</v>
      </c>
    </row>
    <row r="24" spans="1:5">
      <c r="A24" s="37" t="s">
        <v>188</v>
      </c>
      <c r="B24" s="37" t="s">
        <v>19</v>
      </c>
      <c r="C24" s="37" t="s">
        <v>242</v>
      </c>
      <c r="D24" s="37" t="s">
        <v>253</v>
      </c>
      <c r="E24" s="37" t="s">
        <v>257</v>
      </c>
    </row>
    <row r="25" spans="1:5">
      <c r="A25" s="37" t="s">
        <v>189</v>
      </c>
      <c r="B25" s="37" t="s">
        <v>18</v>
      </c>
      <c r="C25" s="37" t="s">
        <v>242</v>
      </c>
      <c r="D25" s="37" t="s">
        <v>253</v>
      </c>
      <c r="E25" s="37" t="s">
        <v>257</v>
      </c>
    </row>
    <row r="26" spans="1:5">
      <c r="A26" s="37" t="s">
        <v>190</v>
      </c>
      <c r="B26" s="37" t="s">
        <v>3</v>
      </c>
      <c r="C26" s="37" t="s">
        <v>245</v>
      </c>
      <c r="D26" s="37" t="s">
        <v>253</v>
      </c>
      <c r="E26" s="37" t="s">
        <v>257</v>
      </c>
    </row>
    <row r="27" spans="1:5">
      <c r="A27" s="37" t="s">
        <v>191</v>
      </c>
      <c r="B27" s="37" t="s">
        <v>4</v>
      </c>
      <c r="C27" s="37" t="s">
        <v>245</v>
      </c>
      <c r="D27" s="37" t="s">
        <v>253</v>
      </c>
      <c r="E27" s="37" t="s">
        <v>256</v>
      </c>
    </row>
    <row r="28" spans="1:5">
      <c r="A28" s="37" t="s">
        <v>187</v>
      </c>
      <c r="B28" s="37" t="s">
        <v>20</v>
      </c>
      <c r="C28" s="37" t="s">
        <v>245</v>
      </c>
      <c r="D28" s="37" t="s">
        <v>253</v>
      </c>
      <c r="E28" s="37" t="s">
        <v>256</v>
      </c>
    </row>
    <row r="29" spans="1:5">
      <c r="A29" s="37" t="s">
        <v>192</v>
      </c>
      <c r="B29" s="37" t="s">
        <v>13</v>
      </c>
      <c r="C29" s="37" t="s">
        <v>245</v>
      </c>
      <c r="D29" s="37" t="s">
        <v>253</v>
      </c>
      <c r="E29" s="37" t="s">
        <v>257</v>
      </c>
    </row>
    <row r="30" spans="1:5">
      <c r="A30" s="37" t="s">
        <v>193</v>
      </c>
      <c r="B30" s="37" t="s">
        <v>21</v>
      </c>
      <c r="C30" s="37" t="s">
        <v>244</v>
      </c>
      <c r="D30" s="37" t="s">
        <v>254</v>
      </c>
      <c r="E30" s="37" t="s">
        <v>256</v>
      </c>
    </row>
    <row r="31" spans="1:5">
      <c r="A31" s="37" t="s">
        <v>194</v>
      </c>
      <c r="B31" s="37" t="s">
        <v>22</v>
      </c>
      <c r="C31" s="37" t="s">
        <v>244</v>
      </c>
      <c r="D31" s="37" t="s">
        <v>254</v>
      </c>
      <c r="E31" s="37" t="s">
        <v>258</v>
      </c>
    </row>
    <row r="32" spans="1:5">
      <c r="A32" s="37" t="s">
        <v>195</v>
      </c>
      <c r="B32" s="37" t="s">
        <v>23</v>
      </c>
      <c r="C32" s="37" t="s">
        <v>244</v>
      </c>
      <c r="D32" s="37" t="s">
        <v>254</v>
      </c>
      <c r="E32" s="37" t="s">
        <v>258</v>
      </c>
    </row>
    <row r="33" spans="1:5">
      <c r="A33" s="37" t="s">
        <v>196</v>
      </c>
      <c r="B33" s="37" t="s">
        <v>24</v>
      </c>
      <c r="C33" s="37" t="s">
        <v>244</v>
      </c>
      <c r="D33" s="37" t="s">
        <v>254</v>
      </c>
      <c r="E33" s="37" t="s">
        <v>257</v>
      </c>
    </row>
    <row r="34" spans="1:5">
      <c r="A34" s="37" t="s">
        <v>197</v>
      </c>
      <c r="B34" s="37" t="s">
        <v>25</v>
      </c>
      <c r="C34" s="37" t="s">
        <v>244</v>
      </c>
      <c r="D34" s="37" t="s">
        <v>253</v>
      </c>
      <c r="E34" s="37" t="s">
        <v>256</v>
      </c>
    </row>
    <row r="35" spans="1:5">
      <c r="A35" s="37" t="s">
        <v>198</v>
      </c>
      <c r="B35" s="37" t="s">
        <v>26</v>
      </c>
      <c r="C35" s="37" t="s">
        <v>241</v>
      </c>
      <c r="D35" s="37" t="s">
        <v>253</v>
      </c>
      <c r="E35" s="37" t="s">
        <v>257</v>
      </c>
    </row>
    <row r="36" spans="1:5">
      <c r="A36" s="37" t="s">
        <v>199</v>
      </c>
      <c r="B36" s="37" t="s">
        <v>27</v>
      </c>
      <c r="C36" s="37" t="s">
        <v>241</v>
      </c>
      <c r="D36" s="37" t="s">
        <v>253</v>
      </c>
      <c r="E36" s="37" t="s">
        <v>256</v>
      </c>
    </row>
    <row r="37" spans="1:5">
      <c r="A37" s="37" t="s">
        <v>200</v>
      </c>
      <c r="B37" s="37" t="s">
        <v>28</v>
      </c>
      <c r="C37" s="37" t="s">
        <v>242</v>
      </c>
      <c r="D37" s="37" t="s">
        <v>253</v>
      </c>
      <c r="E37" s="37" t="s">
        <v>256</v>
      </c>
    </row>
    <row r="38" spans="1:5">
      <c r="A38" s="37" t="s">
        <v>196</v>
      </c>
      <c r="B38" s="37" t="s">
        <v>29</v>
      </c>
      <c r="C38" s="37" t="s">
        <v>241</v>
      </c>
      <c r="D38" s="37" t="s">
        <v>253</v>
      </c>
      <c r="E38" s="37" t="s">
        <v>258</v>
      </c>
    </row>
    <row r="39" spans="1:5">
      <c r="A39" s="37" t="s">
        <v>201</v>
      </c>
      <c r="B39" s="37" t="s">
        <v>30</v>
      </c>
      <c r="C39" s="37" t="s">
        <v>241</v>
      </c>
      <c r="D39" s="37" t="s">
        <v>253</v>
      </c>
      <c r="E39" s="37" t="s">
        <v>256</v>
      </c>
    </row>
    <row r="40" spans="1:5">
      <c r="A40" s="37" t="s">
        <v>202</v>
      </c>
      <c r="B40" s="37" t="s">
        <v>22</v>
      </c>
      <c r="C40" s="37" t="s">
        <v>242</v>
      </c>
      <c r="D40" s="37" t="s">
        <v>253</v>
      </c>
      <c r="E40" s="37" t="s">
        <v>256</v>
      </c>
    </row>
    <row r="41" spans="1:5">
      <c r="A41" s="37" t="s">
        <v>203</v>
      </c>
      <c r="B41" s="37" t="s">
        <v>12</v>
      </c>
      <c r="C41" s="37" t="s">
        <v>241</v>
      </c>
      <c r="D41" s="37" t="s">
        <v>253</v>
      </c>
      <c r="E41" s="37" t="s">
        <v>258</v>
      </c>
    </row>
    <row r="42" spans="1:5">
      <c r="A42" s="37" t="s">
        <v>204</v>
      </c>
      <c r="B42" s="37" t="s">
        <v>31</v>
      </c>
      <c r="C42" s="37" t="s">
        <v>245</v>
      </c>
      <c r="D42" s="37" t="s">
        <v>253</v>
      </c>
      <c r="E42" s="37" t="s">
        <v>258</v>
      </c>
    </row>
    <row r="43" spans="1:5">
      <c r="A43" s="37" t="s">
        <v>205</v>
      </c>
      <c r="B43" s="37" t="s">
        <v>32</v>
      </c>
      <c r="C43" s="37" t="s">
        <v>243</v>
      </c>
      <c r="D43" s="37" t="s">
        <v>253</v>
      </c>
      <c r="E43" s="37" t="s">
        <v>256</v>
      </c>
    </row>
    <row r="44" spans="1:5">
      <c r="A44" s="37" t="s">
        <v>206</v>
      </c>
      <c r="B44" s="37" t="s">
        <v>33</v>
      </c>
      <c r="C44" s="37" t="s">
        <v>247</v>
      </c>
      <c r="D44" s="37" t="s">
        <v>253</v>
      </c>
      <c r="E44" s="37" t="s">
        <v>255</v>
      </c>
    </row>
    <row r="45" spans="1:5">
      <c r="A45" s="37" t="s">
        <v>207</v>
      </c>
      <c r="B45" s="37" t="s">
        <v>34</v>
      </c>
      <c r="C45" s="37" t="s">
        <v>241</v>
      </c>
      <c r="D45" s="37" t="s">
        <v>253</v>
      </c>
      <c r="E45" s="37" t="s">
        <v>255</v>
      </c>
    </row>
    <row r="46" spans="1:5">
      <c r="A46" s="37" t="s">
        <v>208</v>
      </c>
      <c r="B46" s="37" t="s">
        <v>35</v>
      </c>
      <c r="C46" s="37" t="s">
        <v>241</v>
      </c>
      <c r="D46" s="37" t="s">
        <v>253</v>
      </c>
      <c r="E46" s="37" t="s">
        <v>255</v>
      </c>
    </row>
    <row r="47" spans="1:5">
      <c r="A47" s="37" t="s">
        <v>209</v>
      </c>
      <c r="B47" s="37" t="s">
        <v>4</v>
      </c>
      <c r="C47" s="37" t="s">
        <v>241</v>
      </c>
      <c r="D47" s="37" t="s">
        <v>253</v>
      </c>
      <c r="E47" s="37" t="s">
        <v>255</v>
      </c>
    </row>
    <row r="48" spans="1:5">
      <c r="A48" s="37" t="s">
        <v>205</v>
      </c>
      <c r="B48" s="37" t="s">
        <v>36</v>
      </c>
      <c r="C48" s="37" t="s">
        <v>241</v>
      </c>
      <c r="D48" s="37" t="s">
        <v>253</v>
      </c>
      <c r="E48" s="37" t="s">
        <v>258</v>
      </c>
    </row>
    <row r="49" spans="1:5">
      <c r="A49" s="37" t="s">
        <v>210</v>
      </c>
      <c r="B49" s="37" t="s">
        <v>37</v>
      </c>
      <c r="C49" s="37" t="s">
        <v>248</v>
      </c>
      <c r="D49" s="37" t="s">
        <v>253</v>
      </c>
      <c r="E49" s="37" t="s">
        <v>258</v>
      </c>
    </row>
    <row r="50" spans="1:5">
      <c r="A50" s="37" t="s">
        <v>211</v>
      </c>
      <c r="B50" s="37" t="s">
        <v>38</v>
      </c>
      <c r="C50" s="37" t="s">
        <v>241</v>
      </c>
      <c r="D50" s="37" t="s">
        <v>253</v>
      </c>
      <c r="E50" s="37" t="s">
        <v>258</v>
      </c>
    </row>
    <row r="51" spans="1:5">
      <c r="A51" s="37" t="s">
        <v>212</v>
      </c>
      <c r="B51" s="37" t="s">
        <v>39</v>
      </c>
      <c r="C51" s="37" t="s">
        <v>241</v>
      </c>
      <c r="D51" s="37" t="s">
        <v>253</v>
      </c>
      <c r="E51" s="37" t="s">
        <v>258</v>
      </c>
    </row>
    <row r="52" spans="1:5">
      <c r="A52" s="37" t="s">
        <v>213</v>
      </c>
      <c r="B52" s="37" t="s">
        <v>40</v>
      </c>
      <c r="C52" s="37" t="s">
        <v>241</v>
      </c>
      <c r="D52" s="37" t="s">
        <v>253</v>
      </c>
      <c r="E52" s="37" t="s">
        <v>256</v>
      </c>
    </row>
    <row r="53" spans="1:5">
      <c r="A53" s="37" t="s">
        <v>173</v>
      </c>
      <c r="B53" s="37" t="s">
        <v>24</v>
      </c>
      <c r="C53" s="37" t="s">
        <v>244</v>
      </c>
      <c r="D53" s="37" t="s">
        <v>253</v>
      </c>
      <c r="E53" s="37" t="s">
        <v>258</v>
      </c>
    </row>
    <row r="54" spans="1:5">
      <c r="A54" s="37" t="s">
        <v>169</v>
      </c>
      <c r="B54" s="37" t="s">
        <v>30</v>
      </c>
      <c r="C54" s="37" t="s">
        <v>241</v>
      </c>
      <c r="D54" s="37" t="s">
        <v>253</v>
      </c>
      <c r="E54" s="37" t="s">
        <v>258</v>
      </c>
    </row>
    <row r="55" spans="1:5">
      <c r="A55" s="37" t="s">
        <v>170</v>
      </c>
      <c r="B55" s="37" t="s">
        <v>41</v>
      </c>
      <c r="C55" s="37" t="s">
        <v>241</v>
      </c>
      <c r="D55" s="37" t="s">
        <v>253</v>
      </c>
      <c r="E55" s="37" t="s">
        <v>257</v>
      </c>
    </row>
    <row r="56" spans="1:5">
      <c r="A56" s="37" t="s">
        <v>171</v>
      </c>
      <c r="B56" s="37" t="s">
        <v>42</v>
      </c>
      <c r="C56" s="37" t="s">
        <v>241</v>
      </c>
      <c r="D56" s="37" t="s">
        <v>253</v>
      </c>
      <c r="E56" s="37" t="s">
        <v>256</v>
      </c>
    </row>
    <row r="57" spans="1:5">
      <c r="A57" s="37" t="s">
        <v>172</v>
      </c>
      <c r="B57" s="37" t="s">
        <v>43</v>
      </c>
      <c r="C57" s="37" t="s">
        <v>248</v>
      </c>
      <c r="D57" s="37" t="s">
        <v>253</v>
      </c>
      <c r="E57" s="37" t="s">
        <v>258</v>
      </c>
    </row>
    <row r="58" spans="1:5">
      <c r="A58" s="37" t="s">
        <v>173</v>
      </c>
      <c r="B58" s="37" t="s">
        <v>44</v>
      </c>
      <c r="C58" s="37" t="s">
        <v>243</v>
      </c>
      <c r="D58" s="37" t="s">
        <v>253</v>
      </c>
      <c r="E58" s="37" t="s">
        <v>258</v>
      </c>
    </row>
    <row r="59" spans="1:5">
      <c r="A59" s="37" t="s">
        <v>174</v>
      </c>
      <c r="B59" s="37" t="s">
        <v>45</v>
      </c>
      <c r="C59" s="37" t="s">
        <v>242</v>
      </c>
      <c r="D59" s="37" t="s">
        <v>253</v>
      </c>
      <c r="E59" s="37" t="s">
        <v>258</v>
      </c>
    </row>
    <row r="60" spans="1:5">
      <c r="A60" s="37" t="s">
        <v>175</v>
      </c>
      <c r="B60" s="37" t="s">
        <v>46</v>
      </c>
      <c r="C60" s="37" t="s">
        <v>248</v>
      </c>
      <c r="D60" s="37" t="s">
        <v>253</v>
      </c>
      <c r="E60" s="37" t="s">
        <v>258</v>
      </c>
    </row>
    <row r="61" spans="1:5">
      <c r="A61" s="37" t="s">
        <v>176</v>
      </c>
      <c r="B61" s="37" t="s">
        <v>47</v>
      </c>
      <c r="C61" s="37" t="s">
        <v>248</v>
      </c>
      <c r="D61" s="37" t="s">
        <v>253</v>
      </c>
      <c r="E61" s="37" t="s">
        <v>257</v>
      </c>
    </row>
    <row r="62" spans="1:5">
      <c r="A62" s="37" t="s">
        <v>177</v>
      </c>
      <c r="B62" s="37" t="s">
        <v>48</v>
      </c>
      <c r="C62" s="37" t="s">
        <v>248</v>
      </c>
      <c r="D62" s="37" t="s">
        <v>253</v>
      </c>
      <c r="E62" s="37" t="s">
        <v>256</v>
      </c>
    </row>
    <row r="63" spans="1:5">
      <c r="A63" s="37" t="s">
        <v>214</v>
      </c>
      <c r="B63" s="37" t="s">
        <v>49</v>
      </c>
      <c r="C63" s="37" t="s">
        <v>248</v>
      </c>
      <c r="D63" s="37" t="s">
        <v>253</v>
      </c>
      <c r="E63" s="37" t="s">
        <v>258</v>
      </c>
    </row>
    <row r="64" spans="1:5">
      <c r="A64" s="37" t="s">
        <v>215</v>
      </c>
      <c r="B64" s="37" t="s">
        <v>50</v>
      </c>
      <c r="C64" s="37" t="s">
        <v>248</v>
      </c>
      <c r="D64" s="37" t="s">
        <v>253</v>
      </c>
      <c r="E64" s="37" t="s">
        <v>257</v>
      </c>
    </row>
    <row r="65" spans="1:5">
      <c r="A65" s="37" t="s">
        <v>216</v>
      </c>
      <c r="B65" s="37" t="s">
        <v>51</v>
      </c>
      <c r="C65" s="37" t="s">
        <v>248</v>
      </c>
      <c r="D65" s="37" t="s">
        <v>253</v>
      </c>
      <c r="E65" s="37" t="s">
        <v>258</v>
      </c>
    </row>
    <row r="66" spans="1:5">
      <c r="A66" s="37" t="s">
        <v>217</v>
      </c>
      <c r="B66" s="37" t="s">
        <v>52</v>
      </c>
      <c r="C66" s="37" t="s">
        <v>248</v>
      </c>
      <c r="D66" s="37" t="s">
        <v>253</v>
      </c>
      <c r="E66" s="37" t="s">
        <v>256</v>
      </c>
    </row>
    <row r="67" spans="1:5">
      <c r="A67" s="37" t="s">
        <v>218</v>
      </c>
      <c r="B67" s="37" t="s">
        <v>53</v>
      </c>
      <c r="C67" s="37" t="s">
        <v>248</v>
      </c>
      <c r="D67" s="37" t="s">
        <v>254</v>
      </c>
      <c r="E67" s="37" t="s">
        <v>256</v>
      </c>
    </row>
    <row r="68" spans="1:5">
      <c r="A68" s="37" t="s">
        <v>214</v>
      </c>
      <c r="B68" s="37" t="s">
        <v>54</v>
      </c>
      <c r="C68" s="37" t="s">
        <v>248</v>
      </c>
      <c r="D68" s="37" t="s">
        <v>254</v>
      </c>
      <c r="E68" s="37" t="s">
        <v>256</v>
      </c>
    </row>
    <row r="69" spans="1:5">
      <c r="A69" s="37" t="s">
        <v>219</v>
      </c>
      <c r="B69" s="37" t="s">
        <v>55</v>
      </c>
      <c r="C69" s="37" t="s">
        <v>248</v>
      </c>
      <c r="D69" s="37" t="s">
        <v>254</v>
      </c>
      <c r="E69" s="37" t="s">
        <v>258</v>
      </c>
    </row>
    <row r="70" spans="1:5">
      <c r="A70" s="37" t="s">
        <v>220</v>
      </c>
      <c r="B70" s="37" t="s">
        <v>56</v>
      </c>
      <c r="C70" s="37" t="s">
        <v>248</v>
      </c>
      <c r="D70" s="37" t="s">
        <v>254</v>
      </c>
      <c r="E70" s="37" t="s">
        <v>258</v>
      </c>
    </row>
    <row r="71" spans="1:5">
      <c r="A71" s="37" t="s">
        <v>221</v>
      </c>
      <c r="B71" s="37" t="s">
        <v>57</v>
      </c>
      <c r="C71" s="37" t="s">
        <v>248</v>
      </c>
      <c r="D71" s="37" t="s">
        <v>253</v>
      </c>
      <c r="E71" s="37" t="s">
        <v>258</v>
      </c>
    </row>
    <row r="72" spans="1:5">
      <c r="A72" s="37" t="s">
        <v>222</v>
      </c>
      <c r="B72" s="37" t="s">
        <v>58</v>
      </c>
      <c r="C72" s="37" t="s">
        <v>248</v>
      </c>
      <c r="D72" s="37" t="s">
        <v>253</v>
      </c>
      <c r="E72" s="37" t="s">
        <v>258</v>
      </c>
    </row>
    <row r="73" spans="1:5">
      <c r="A73" s="37" t="s">
        <v>223</v>
      </c>
      <c r="B73" s="37" t="s">
        <v>59</v>
      </c>
      <c r="C73" s="37" t="s">
        <v>245</v>
      </c>
      <c r="D73" s="37" t="s">
        <v>253</v>
      </c>
      <c r="E73" s="37" t="s">
        <v>257</v>
      </c>
    </row>
    <row r="74" spans="1:5">
      <c r="A74" s="37" t="s">
        <v>224</v>
      </c>
      <c r="B74" s="37" t="s">
        <v>60</v>
      </c>
      <c r="C74" s="37" t="s">
        <v>245</v>
      </c>
      <c r="D74" s="37" t="s">
        <v>253</v>
      </c>
      <c r="E74" s="37" t="s">
        <v>258</v>
      </c>
    </row>
    <row r="75" spans="1:5">
      <c r="A75" s="37" t="s">
        <v>225</v>
      </c>
      <c r="B75" s="37" t="s">
        <v>61</v>
      </c>
      <c r="C75" s="37" t="s">
        <v>246</v>
      </c>
      <c r="D75" s="37" t="s">
        <v>253</v>
      </c>
      <c r="E75" s="37" t="s">
        <v>258</v>
      </c>
    </row>
    <row r="76" spans="1:5">
      <c r="A76" s="37" t="s">
        <v>226</v>
      </c>
      <c r="B76" s="37" t="s">
        <v>62</v>
      </c>
      <c r="C76" s="37" t="s">
        <v>246</v>
      </c>
      <c r="D76" s="37" t="s">
        <v>253</v>
      </c>
      <c r="E76" s="37" t="s">
        <v>256</v>
      </c>
    </row>
    <row r="77" spans="1:5">
      <c r="A77" s="37" t="s">
        <v>227</v>
      </c>
      <c r="B77" s="37" t="s">
        <v>63</v>
      </c>
      <c r="C77" s="37" t="s">
        <v>246</v>
      </c>
      <c r="D77" s="37" t="s">
        <v>253</v>
      </c>
      <c r="E77" s="37" t="s">
        <v>256</v>
      </c>
    </row>
    <row r="78" spans="1:5">
      <c r="A78" s="37" t="s">
        <v>223</v>
      </c>
      <c r="B78" s="37" t="s">
        <v>64</v>
      </c>
      <c r="C78" s="37" t="s">
        <v>246</v>
      </c>
      <c r="D78" s="37" t="s">
        <v>253</v>
      </c>
      <c r="E78" s="37" t="s">
        <v>258</v>
      </c>
    </row>
    <row r="79" spans="1:5">
      <c r="A79" s="37" t="s">
        <v>228</v>
      </c>
      <c r="B79" s="37" t="s">
        <v>65</v>
      </c>
      <c r="C79" s="37" t="s">
        <v>246</v>
      </c>
      <c r="D79" s="37" t="s">
        <v>254</v>
      </c>
      <c r="E79" s="37" t="s">
        <v>258</v>
      </c>
    </row>
    <row r="80" spans="1:5">
      <c r="A80" s="37" t="s">
        <v>229</v>
      </c>
      <c r="B80" s="37" t="s">
        <v>55</v>
      </c>
      <c r="C80" s="37" t="s">
        <v>246</v>
      </c>
      <c r="D80" s="37" t="s">
        <v>254</v>
      </c>
      <c r="E80" s="37" t="s">
        <v>258</v>
      </c>
    </row>
    <row r="81" spans="1:5">
      <c r="A81" s="37" t="s">
        <v>230</v>
      </c>
      <c r="B81" s="37" t="s">
        <v>51</v>
      </c>
      <c r="C81" s="37" t="s">
        <v>247</v>
      </c>
      <c r="D81" s="37" t="s">
        <v>253</v>
      </c>
      <c r="E81" s="37" t="s">
        <v>255</v>
      </c>
    </row>
    <row r="82" spans="1:5">
      <c r="A82" s="37" t="s">
        <v>231</v>
      </c>
      <c r="B82" s="37" t="s">
        <v>12</v>
      </c>
      <c r="C82" s="37" t="s">
        <v>247</v>
      </c>
      <c r="D82" s="37" t="s">
        <v>253</v>
      </c>
      <c r="E82" s="37" t="s">
        <v>255</v>
      </c>
    </row>
    <row r="83" spans="1:5">
      <c r="A83" s="37" t="s">
        <v>232</v>
      </c>
      <c r="B83" s="37" t="s">
        <v>48</v>
      </c>
      <c r="C83" s="37" t="s">
        <v>247</v>
      </c>
      <c r="D83" s="37" t="s">
        <v>253</v>
      </c>
      <c r="E83" s="37" t="s">
        <v>255</v>
      </c>
    </row>
    <row r="90" spans="1:5">
      <c r="C90" s="89" t="s">
        <v>249</v>
      </c>
    </row>
    <row r="91" spans="1:5">
      <c r="C91" s="90" t="s">
        <v>241</v>
      </c>
    </row>
    <row r="92" spans="1:5">
      <c r="C92" s="90" t="s">
        <v>242</v>
      </c>
    </row>
    <row r="93" spans="1:5">
      <c r="C93" s="90" t="s">
        <v>243</v>
      </c>
    </row>
    <row r="94" spans="1:5">
      <c r="C94" s="90" t="s">
        <v>244</v>
      </c>
    </row>
    <row r="95" spans="1:5">
      <c r="C95" s="90" t="s">
        <v>245</v>
      </c>
    </row>
    <row r="96" spans="1:5">
      <c r="C96" s="90" t="s">
        <v>246</v>
      </c>
    </row>
    <row r="97" spans="3:3">
      <c r="C97" s="90" t="s">
        <v>247</v>
      </c>
    </row>
    <row r="98" spans="3:3">
      <c r="C98" s="90" t="s">
        <v>248</v>
      </c>
    </row>
    <row r="99" spans="3:3">
      <c r="C99" s="90"/>
    </row>
    <row r="100" spans="3:3">
      <c r="C100" s="90"/>
    </row>
    <row r="101" spans="3:3">
      <c r="C101" s="89" t="s">
        <v>249</v>
      </c>
    </row>
    <row r="102" spans="3:3">
      <c r="C102" s="90" t="s">
        <v>253</v>
      </c>
    </row>
    <row r="103" spans="3:3">
      <c r="C103" s="90" t="s">
        <v>254</v>
      </c>
    </row>
    <row r="104" spans="3:3">
      <c r="C104" s="89" t="s">
        <v>249</v>
      </c>
    </row>
    <row r="105" spans="3:3">
      <c r="C105" s="90" t="s">
        <v>255</v>
      </c>
    </row>
    <row r="106" spans="3:3">
      <c r="C106" s="90" t="s">
        <v>256</v>
      </c>
    </row>
    <row r="107" spans="3:3">
      <c r="C107" s="90" t="s">
        <v>257</v>
      </c>
    </row>
    <row r="108" spans="3:3">
      <c r="C108" s="90" t="s">
        <v>258</v>
      </c>
    </row>
    <row r="109" spans="3:3">
      <c r="C109" s="88"/>
    </row>
    <row r="110" spans="3:3">
      <c r="C110" s="88"/>
    </row>
  </sheetData>
  <mergeCells count="1">
    <mergeCell ref="A1:E2"/>
  </mergeCells>
  <conditionalFormatting sqref="D4:D1048576">
    <cfRule type="containsText" dxfId="10" priority="1" operator="containsText" text="P">
      <formula>NOT(ISERROR(SEARCH("P",D4)))</formula>
    </cfRule>
  </conditionalFormatting>
  <dataValidations count="3">
    <dataValidation type="list" allowBlank="1" showInputMessage="1" showErrorMessage="1" sqref="C3:C83">
      <formula1>$C$91:$C$98</formula1>
    </dataValidation>
    <dataValidation type="list" allowBlank="1" showInputMessage="1" showErrorMessage="1" sqref="D4:D83">
      <formula1>$C$102:$C$103</formula1>
    </dataValidation>
    <dataValidation type="list" allowBlank="1" showInputMessage="1" showErrorMessage="1" sqref="E3:E83">
      <formula1>$C$105:$C$108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"/>
  <sheetViews>
    <sheetView workbookViewId="0">
      <selection activeCell="L5" sqref="L5"/>
    </sheetView>
  </sheetViews>
  <sheetFormatPr defaultRowHeight="15"/>
  <cols>
    <col min="1" max="1" width="17.140625" style="1" customWidth="1"/>
    <col min="2" max="2" width="24.5703125" style="1" customWidth="1"/>
    <col min="3" max="3" width="18.140625" style="1" bestFit="1" customWidth="1"/>
    <col min="4" max="4" width="14.140625" style="6" bestFit="1" customWidth="1"/>
    <col min="5" max="5" width="13.28515625" style="7" customWidth="1"/>
    <col min="6" max="6" width="15.140625" style="1" customWidth="1"/>
    <col min="7" max="7" width="19.5703125" style="1" customWidth="1"/>
    <col min="8" max="8" width="23.7109375" style="1" customWidth="1"/>
    <col min="9" max="9" width="23.7109375" style="1" hidden="1" customWidth="1"/>
    <col min="10" max="10" width="15" style="5" customWidth="1"/>
    <col min="11" max="11" width="18.7109375" style="1" customWidth="1"/>
  </cols>
  <sheetData>
    <row r="1" spans="1:10">
      <c r="A1" s="99" t="s">
        <v>259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>
      <c r="A2" s="102"/>
      <c r="B2" s="103"/>
      <c r="C2" s="103"/>
      <c r="D2" s="103"/>
      <c r="E2" s="103"/>
      <c r="F2" s="103"/>
      <c r="G2" s="103"/>
      <c r="H2" s="103"/>
      <c r="I2" s="103"/>
      <c r="J2" s="104"/>
    </row>
    <row r="3" spans="1:10" s="4" customFormat="1" ht="32.25" customHeight="1">
      <c r="A3" s="14" t="s">
        <v>260</v>
      </c>
      <c r="B3" s="14" t="s">
        <v>261</v>
      </c>
      <c r="C3" s="14" t="s">
        <v>262</v>
      </c>
      <c r="D3" s="11" t="s">
        <v>266</v>
      </c>
      <c r="E3" s="15" t="s">
        <v>263</v>
      </c>
      <c r="F3" s="14" t="s">
        <v>278</v>
      </c>
      <c r="G3" s="14" t="s">
        <v>277</v>
      </c>
      <c r="H3" s="14" t="s">
        <v>264</v>
      </c>
      <c r="I3" s="14"/>
      <c r="J3" s="16" t="s">
        <v>265</v>
      </c>
    </row>
    <row r="4" spans="1:10" ht="15.75">
      <c r="A4" s="55" t="s">
        <v>170</v>
      </c>
      <c r="B4" s="37" t="s">
        <v>1</v>
      </c>
      <c r="C4" s="41" t="s">
        <v>267</v>
      </c>
      <c r="D4" s="57">
        <v>46174</v>
      </c>
      <c r="E4" s="64">
        <v>11.466666666666667</v>
      </c>
      <c r="F4" s="41" t="s">
        <v>270</v>
      </c>
      <c r="G4" s="41" t="s">
        <v>272</v>
      </c>
      <c r="H4" s="41" t="s">
        <v>255</v>
      </c>
      <c r="I4" s="65">
        <v>5</v>
      </c>
      <c r="J4" s="91" t="s">
        <v>338</v>
      </c>
    </row>
    <row r="5" spans="1:10" ht="15.75">
      <c r="A5" s="55" t="s">
        <v>172</v>
      </c>
      <c r="B5" s="37" t="s">
        <v>3</v>
      </c>
      <c r="C5" s="41" t="s">
        <v>246</v>
      </c>
      <c r="D5" s="57">
        <v>46174</v>
      </c>
      <c r="E5" s="64">
        <v>12.5</v>
      </c>
      <c r="F5" s="41" t="s">
        <v>270</v>
      </c>
      <c r="G5" s="41" t="s">
        <v>272</v>
      </c>
      <c r="H5" s="41" t="s">
        <v>255</v>
      </c>
      <c r="I5" s="65">
        <v>5</v>
      </c>
      <c r="J5" s="91" t="s">
        <v>338</v>
      </c>
    </row>
    <row r="6" spans="1:10" ht="15.75">
      <c r="A6" s="55" t="s">
        <v>173</v>
      </c>
      <c r="B6" s="37" t="s">
        <v>4</v>
      </c>
      <c r="C6" s="41" t="s">
        <v>307</v>
      </c>
      <c r="D6" s="57">
        <v>46175</v>
      </c>
      <c r="E6" s="64">
        <v>12.6</v>
      </c>
      <c r="F6" s="41" t="s">
        <v>270</v>
      </c>
      <c r="G6" s="41" t="s">
        <v>274</v>
      </c>
      <c r="H6" s="41" t="s">
        <v>276</v>
      </c>
      <c r="I6" s="65">
        <v>4</v>
      </c>
      <c r="J6" s="91" t="s">
        <v>339</v>
      </c>
    </row>
    <row r="7" spans="1:10" ht="15.75">
      <c r="A7" s="55" t="s">
        <v>174</v>
      </c>
      <c r="B7" s="37" t="s">
        <v>5</v>
      </c>
      <c r="C7" s="41" t="s">
        <v>246</v>
      </c>
      <c r="D7" s="57">
        <v>46174</v>
      </c>
      <c r="E7" s="64">
        <v>12.6</v>
      </c>
      <c r="F7" s="41" t="s">
        <v>270</v>
      </c>
      <c r="G7" s="41" t="s">
        <v>272</v>
      </c>
      <c r="H7" s="41" t="s">
        <v>276</v>
      </c>
      <c r="I7" s="65">
        <v>4</v>
      </c>
      <c r="J7" s="91" t="s">
        <v>339</v>
      </c>
    </row>
    <row r="8" spans="1:10" ht="15.75">
      <c r="A8" s="55" t="s">
        <v>175</v>
      </c>
      <c r="B8" s="37" t="s">
        <v>6</v>
      </c>
      <c r="C8" s="41" t="s">
        <v>246</v>
      </c>
      <c r="D8" s="57">
        <v>46174</v>
      </c>
      <c r="E8" s="64">
        <v>13.6</v>
      </c>
      <c r="F8" s="41" t="s">
        <v>270</v>
      </c>
      <c r="G8" s="41" t="s">
        <v>272</v>
      </c>
      <c r="H8" s="41" t="s">
        <v>255</v>
      </c>
      <c r="I8" s="65">
        <v>5</v>
      </c>
      <c r="J8" s="91" t="s">
        <v>338</v>
      </c>
    </row>
    <row r="9" spans="1:10" ht="15.75">
      <c r="A9" s="55" t="s">
        <v>176</v>
      </c>
      <c r="B9" s="37" t="s">
        <v>7</v>
      </c>
      <c r="C9" s="41" t="s">
        <v>269</v>
      </c>
      <c r="D9" s="57">
        <v>46176</v>
      </c>
      <c r="E9" s="64">
        <v>14.6</v>
      </c>
      <c r="F9" s="41" t="s">
        <v>270</v>
      </c>
      <c r="G9" s="41" t="s">
        <v>272</v>
      </c>
      <c r="H9" s="41" t="s">
        <v>255</v>
      </c>
      <c r="I9" s="65">
        <v>5</v>
      </c>
      <c r="J9" s="91" t="s">
        <v>338</v>
      </c>
    </row>
    <row r="10" spans="1:10" ht="15.75">
      <c r="A10" s="55" t="s">
        <v>177</v>
      </c>
      <c r="B10" s="37" t="s">
        <v>8</v>
      </c>
      <c r="C10" s="41" t="s">
        <v>269</v>
      </c>
      <c r="D10" s="57">
        <v>46175</v>
      </c>
      <c r="E10" s="64">
        <v>15.6</v>
      </c>
      <c r="F10" s="41" t="s">
        <v>270</v>
      </c>
      <c r="G10" s="41" t="s">
        <v>274</v>
      </c>
      <c r="H10" s="41" t="s">
        <v>275</v>
      </c>
      <c r="I10" s="65">
        <v>3</v>
      </c>
      <c r="J10" s="91" t="s">
        <v>340</v>
      </c>
    </row>
    <row r="11" spans="1:10" ht="15.75">
      <c r="A11" s="55" t="s">
        <v>178</v>
      </c>
      <c r="B11" s="37" t="s">
        <v>9</v>
      </c>
      <c r="C11" s="41" t="s">
        <v>269</v>
      </c>
      <c r="D11" s="57">
        <v>46174</v>
      </c>
      <c r="E11" s="64">
        <v>16.600000000000001</v>
      </c>
      <c r="F11" s="41" t="s">
        <v>270</v>
      </c>
      <c r="G11" s="41" t="s">
        <v>272</v>
      </c>
      <c r="H11" s="41" t="s">
        <v>275</v>
      </c>
      <c r="I11" s="65">
        <v>3</v>
      </c>
      <c r="J11" s="91" t="s">
        <v>340</v>
      </c>
    </row>
    <row r="12" spans="1:10" ht="15.75">
      <c r="A12" s="55" t="s">
        <v>181</v>
      </c>
      <c r="B12" s="37" t="s">
        <v>12</v>
      </c>
      <c r="C12" s="41" t="s">
        <v>246</v>
      </c>
      <c r="D12" s="57">
        <v>46174</v>
      </c>
      <c r="E12" s="64">
        <v>17.600000000000001</v>
      </c>
      <c r="F12" s="41" t="s">
        <v>271</v>
      </c>
      <c r="G12" s="41" t="s">
        <v>272</v>
      </c>
      <c r="H12" s="41" t="s">
        <v>255</v>
      </c>
      <c r="I12" s="65">
        <v>5</v>
      </c>
      <c r="J12" s="91" t="s">
        <v>338</v>
      </c>
    </row>
    <row r="13" spans="1:10" ht="15.75">
      <c r="A13" s="55" t="s">
        <v>182</v>
      </c>
      <c r="B13" s="37" t="s">
        <v>13</v>
      </c>
      <c r="C13" s="41" t="s">
        <v>246</v>
      </c>
      <c r="D13" s="57">
        <v>46174</v>
      </c>
      <c r="E13" s="64">
        <v>18.600000000000001</v>
      </c>
      <c r="F13" s="41" t="s">
        <v>270</v>
      </c>
      <c r="G13" s="41" t="s">
        <v>272</v>
      </c>
      <c r="H13" s="41" t="s">
        <v>255</v>
      </c>
      <c r="I13" s="65">
        <v>5</v>
      </c>
      <c r="J13" s="91" t="s">
        <v>338</v>
      </c>
    </row>
    <row r="14" spans="1:10" ht="15.75">
      <c r="A14" s="55" t="s">
        <v>178</v>
      </c>
      <c r="B14" s="37" t="s">
        <v>14</v>
      </c>
      <c r="C14" s="41" t="s">
        <v>246</v>
      </c>
      <c r="D14" s="57">
        <v>46176</v>
      </c>
      <c r="E14" s="64">
        <v>19.600000000000001</v>
      </c>
      <c r="F14" s="41" t="s">
        <v>270</v>
      </c>
      <c r="G14" s="41" t="s">
        <v>272</v>
      </c>
      <c r="H14" s="41" t="s">
        <v>275</v>
      </c>
      <c r="I14" s="65">
        <v>3</v>
      </c>
      <c r="J14" s="91" t="s">
        <v>340</v>
      </c>
    </row>
    <row r="15" spans="1:10" ht="15.75">
      <c r="A15" s="55" t="s">
        <v>183</v>
      </c>
      <c r="B15" s="37" t="s">
        <v>5</v>
      </c>
      <c r="C15" s="41" t="s">
        <v>246</v>
      </c>
      <c r="D15" s="57">
        <v>46174</v>
      </c>
      <c r="E15" s="64">
        <v>20.6</v>
      </c>
      <c r="F15" s="41" t="s">
        <v>270</v>
      </c>
      <c r="G15" s="41" t="s">
        <v>272</v>
      </c>
      <c r="H15" s="41" t="s">
        <v>255</v>
      </c>
      <c r="I15" s="65">
        <v>5</v>
      </c>
      <c r="J15" s="91" t="s">
        <v>338</v>
      </c>
    </row>
    <row r="16" spans="1:10" ht="15.75">
      <c r="A16" s="55" t="s">
        <v>184</v>
      </c>
      <c r="B16" s="37" t="s">
        <v>15</v>
      </c>
      <c r="C16" s="41" t="s">
        <v>267</v>
      </c>
      <c r="D16" s="57">
        <v>46174</v>
      </c>
      <c r="E16" s="64">
        <v>21.6</v>
      </c>
      <c r="F16" s="41" t="s">
        <v>270</v>
      </c>
      <c r="G16" s="41" t="s">
        <v>272</v>
      </c>
      <c r="H16" s="41" t="s">
        <v>255</v>
      </c>
      <c r="I16" s="65">
        <v>5</v>
      </c>
      <c r="J16" s="91" t="s">
        <v>338</v>
      </c>
    </row>
    <row r="17" spans="1:10" ht="15.75">
      <c r="A17" s="55" t="s">
        <v>185</v>
      </c>
      <c r="B17" s="37" t="s">
        <v>16</v>
      </c>
      <c r="C17" s="41" t="s">
        <v>307</v>
      </c>
      <c r="D17" s="57">
        <v>46175</v>
      </c>
      <c r="E17" s="64">
        <v>22.6</v>
      </c>
      <c r="F17" s="41" t="s">
        <v>271</v>
      </c>
      <c r="G17" s="41" t="s">
        <v>274</v>
      </c>
      <c r="H17" s="41" t="s">
        <v>276</v>
      </c>
      <c r="I17" s="65">
        <v>4</v>
      </c>
      <c r="J17" s="91" t="s">
        <v>339</v>
      </c>
    </row>
    <row r="18" spans="1:10" ht="15.75">
      <c r="A18" s="55" t="s">
        <v>186</v>
      </c>
      <c r="B18" s="37" t="s">
        <v>17</v>
      </c>
      <c r="C18" s="41" t="s">
        <v>267</v>
      </c>
      <c r="D18" s="57">
        <v>46175</v>
      </c>
      <c r="E18" s="64">
        <v>23.6</v>
      </c>
      <c r="F18" s="41" t="s">
        <v>270</v>
      </c>
      <c r="G18" s="41" t="s">
        <v>272</v>
      </c>
      <c r="H18" s="41" t="s">
        <v>276</v>
      </c>
      <c r="I18" s="65">
        <v>4</v>
      </c>
      <c r="J18" s="91" t="s">
        <v>339</v>
      </c>
    </row>
    <row r="19" spans="1:10" ht="15.75">
      <c r="A19" s="55" t="s">
        <v>187</v>
      </c>
      <c r="B19" s="37" t="s">
        <v>18</v>
      </c>
      <c r="C19" s="41" t="s">
        <v>246</v>
      </c>
      <c r="D19" s="57">
        <v>46175</v>
      </c>
      <c r="E19" s="64">
        <v>24.6</v>
      </c>
      <c r="F19" s="41" t="s">
        <v>270</v>
      </c>
      <c r="G19" s="41" t="s">
        <v>272</v>
      </c>
      <c r="H19" s="41" t="s">
        <v>276</v>
      </c>
      <c r="I19" s="65">
        <v>4</v>
      </c>
      <c r="J19" s="91" t="s">
        <v>339</v>
      </c>
    </row>
    <row r="20" spans="1:10" ht="15.75">
      <c r="A20" s="55" t="s">
        <v>188</v>
      </c>
      <c r="B20" s="37" t="s">
        <v>19</v>
      </c>
      <c r="C20" s="41" t="s">
        <v>269</v>
      </c>
      <c r="D20" s="57">
        <v>46175</v>
      </c>
      <c r="E20" s="64">
        <v>25.6</v>
      </c>
      <c r="F20" s="41" t="s">
        <v>270</v>
      </c>
      <c r="G20" s="41" t="s">
        <v>272</v>
      </c>
      <c r="H20" s="41" t="s">
        <v>255</v>
      </c>
      <c r="I20" s="65">
        <v>5</v>
      </c>
      <c r="J20" s="91" t="s">
        <v>338</v>
      </c>
    </row>
    <row r="21" spans="1:10" ht="15.75">
      <c r="A21" s="55" t="s">
        <v>189</v>
      </c>
      <c r="B21" s="37" t="s">
        <v>18</v>
      </c>
      <c r="C21" s="41" t="s">
        <v>307</v>
      </c>
      <c r="D21" s="57">
        <v>46175</v>
      </c>
      <c r="E21" s="64">
        <v>26.6</v>
      </c>
      <c r="F21" s="41" t="s">
        <v>270</v>
      </c>
      <c r="G21" s="41" t="s">
        <v>274</v>
      </c>
      <c r="H21" s="41" t="s">
        <v>255</v>
      </c>
      <c r="I21" s="65">
        <v>5</v>
      </c>
      <c r="J21" s="91" t="s">
        <v>338</v>
      </c>
    </row>
    <row r="22" spans="1:10" ht="15.75">
      <c r="A22" s="55" t="s">
        <v>190</v>
      </c>
      <c r="B22" s="37" t="s">
        <v>3</v>
      </c>
      <c r="C22" s="41" t="s">
        <v>246</v>
      </c>
      <c r="D22" s="57">
        <v>46175</v>
      </c>
      <c r="E22" s="64">
        <v>27.6</v>
      </c>
      <c r="F22" s="41" t="s">
        <v>270</v>
      </c>
      <c r="G22" s="41" t="s">
        <v>272</v>
      </c>
      <c r="H22" s="41" t="s">
        <v>276</v>
      </c>
      <c r="I22" s="65">
        <v>4</v>
      </c>
      <c r="J22" s="91" t="s">
        <v>339</v>
      </c>
    </row>
    <row r="23" spans="1:10" ht="15.75">
      <c r="A23" s="55" t="s">
        <v>191</v>
      </c>
      <c r="B23" s="37" t="s">
        <v>4</v>
      </c>
      <c r="C23" s="41" t="s">
        <v>246</v>
      </c>
      <c r="D23" s="57">
        <v>46175</v>
      </c>
      <c r="E23" s="64">
        <v>28.6</v>
      </c>
      <c r="F23" s="41" t="s">
        <v>270</v>
      </c>
      <c r="G23" s="41" t="s">
        <v>273</v>
      </c>
      <c r="H23" s="41" t="s">
        <v>276</v>
      </c>
      <c r="I23" s="65">
        <v>4</v>
      </c>
      <c r="J23" s="91" t="s">
        <v>339</v>
      </c>
    </row>
    <row r="24" spans="1:10" ht="15.75">
      <c r="A24" s="55" t="s">
        <v>187</v>
      </c>
      <c r="B24" s="37" t="s">
        <v>20</v>
      </c>
      <c r="C24" s="41" t="s">
        <v>246</v>
      </c>
      <c r="D24" s="57">
        <v>46175</v>
      </c>
      <c r="E24" s="64">
        <v>29.6</v>
      </c>
      <c r="F24" s="41" t="s">
        <v>270</v>
      </c>
      <c r="G24" s="41" t="s">
        <v>272</v>
      </c>
      <c r="H24" s="41" t="s">
        <v>276</v>
      </c>
      <c r="I24" s="65">
        <v>4</v>
      </c>
      <c r="J24" s="91" t="s">
        <v>339</v>
      </c>
    </row>
    <row r="25" spans="1:10" ht="15.75">
      <c r="A25" s="55" t="s">
        <v>192</v>
      </c>
      <c r="B25" s="37" t="s">
        <v>13</v>
      </c>
      <c r="C25" s="41" t="s">
        <v>269</v>
      </c>
      <c r="D25" s="57">
        <v>46175</v>
      </c>
      <c r="E25" s="64">
        <v>30.6</v>
      </c>
      <c r="F25" s="41" t="s">
        <v>270</v>
      </c>
      <c r="G25" s="41" t="s">
        <v>272</v>
      </c>
      <c r="H25" s="41" t="s">
        <v>276</v>
      </c>
      <c r="I25" s="65">
        <v>4</v>
      </c>
      <c r="J25" s="91" t="s">
        <v>339</v>
      </c>
    </row>
    <row r="26" spans="1:10" ht="15.75">
      <c r="A26" s="55" t="s">
        <v>197</v>
      </c>
      <c r="B26" s="37" t="s">
        <v>25</v>
      </c>
      <c r="C26" s="41" t="s">
        <v>307</v>
      </c>
      <c r="D26" s="57">
        <v>46175</v>
      </c>
      <c r="E26" s="64">
        <v>31.6</v>
      </c>
      <c r="F26" s="41" t="s">
        <v>270</v>
      </c>
      <c r="G26" s="41" t="s">
        <v>274</v>
      </c>
      <c r="H26" s="41" t="s">
        <v>255</v>
      </c>
      <c r="I26" s="65">
        <v>5</v>
      </c>
      <c r="J26" s="91" t="s">
        <v>338</v>
      </c>
    </row>
    <row r="27" spans="1:10" ht="15.75">
      <c r="A27" s="55" t="s">
        <v>198</v>
      </c>
      <c r="B27" s="37" t="s">
        <v>26</v>
      </c>
      <c r="C27" s="41" t="s">
        <v>269</v>
      </c>
      <c r="D27" s="57">
        <v>46175</v>
      </c>
      <c r="E27" s="64">
        <v>32.6</v>
      </c>
      <c r="F27" s="41" t="s">
        <v>270</v>
      </c>
      <c r="G27" s="41" t="s">
        <v>272</v>
      </c>
      <c r="H27" s="41" t="s">
        <v>275</v>
      </c>
      <c r="I27" s="65">
        <v>3</v>
      </c>
      <c r="J27" s="91" t="s">
        <v>340</v>
      </c>
    </row>
    <row r="28" spans="1:10" ht="15.75">
      <c r="A28" s="55" t="s">
        <v>199</v>
      </c>
      <c r="B28" s="37" t="s">
        <v>27</v>
      </c>
      <c r="C28" s="41" t="s">
        <v>269</v>
      </c>
      <c r="D28" s="57">
        <v>46175</v>
      </c>
      <c r="E28" s="64">
        <v>33.6</v>
      </c>
      <c r="F28" s="41" t="s">
        <v>270</v>
      </c>
      <c r="G28" s="41" t="s">
        <v>272</v>
      </c>
      <c r="H28" s="41" t="s">
        <v>275</v>
      </c>
      <c r="I28" s="65">
        <v>3</v>
      </c>
      <c r="J28" s="91" t="s">
        <v>340</v>
      </c>
    </row>
    <row r="29" spans="1:10" ht="15.75">
      <c r="A29" s="55" t="s">
        <v>200</v>
      </c>
      <c r="B29" s="37" t="s">
        <v>28</v>
      </c>
      <c r="C29" s="41" t="s">
        <v>246</v>
      </c>
      <c r="D29" s="57">
        <v>46175</v>
      </c>
      <c r="E29" s="64">
        <v>34.6</v>
      </c>
      <c r="F29" s="41" t="s">
        <v>270</v>
      </c>
      <c r="G29" s="41" t="s">
        <v>272</v>
      </c>
      <c r="H29" s="41" t="s">
        <v>275</v>
      </c>
      <c r="I29" s="65">
        <v>3</v>
      </c>
      <c r="J29" s="91" t="s">
        <v>340</v>
      </c>
    </row>
    <row r="30" spans="1:10" ht="15.75">
      <c r="A30" s="55" t="s">
        <v>196</v>
      </c>
      <c r="B30" s="37" t="s">
        <v>29</v>
      </c>
      <c r="C30" s="41" t="s">
        <v>246</v>
      </c>
      <c r="D30" s="57">
        <v>46175</v>
      </c>
      <c r="E30" s="64">
        <v>35.6</v>
      </c>
      <c r="F30" s="41" t="s">
        <v>270</v>
      </c>
      <c r="G30" s="41" t="s">
        <v>272</v>
      </c>
      <c r="H30" s="41" t="s">
        <v>255</v>
      </c>
      <c r="I30" s="65">
        <v>5</v>
      </c>
      <c r="J30" s="91" t="s">
        <v>338</v>
      </c>
    </row>
    <row r="31" spans="1:10" ht="15.75">
      <c r="A31" s="55" t="s">
        <v>201</v>
      </c>
      <c r="B31" s="37" t="s">
        <v>30</v>
      </c>
      <c r="C31" s="41" t="s">
        <v>269</v>
      </c>
      <c r="D31" s="57">
        <v>46175</v>
      </c>
      <c r="E31" s="64">
        <v>36.6</v>
      </c>
      <c r="F31" s="41" t="s">
        <v>270</v>
      </c>
      <c r="G31" s="41" t="s">
        <v>272</v>
      </c>
      <c r="H31" s="41" t="s">
        <v>276</v>
      </c>
      <c r="I31" s="65">
        <v>4</v>
      </c>
      <c r="J31" s="91" t="s">
        <v>339</v>
      </c>
    </row>
    <row r="32" spans="1:10" ht="15.75">
      <c r="A32" s="55" t="s">
        <v>202</v>
      </c>
      <c r="B32" s="37" t="s">
        <v>22</v>
      </c>
      <c r="C32" s="41" t="s">
        <v>267</v>
      </c>
      <c r="D32" s="57">
        <v>46175</v>
      </c>
      <c r="E32" s="64">
        <v>37.6</v>
      </c>
      <c r="F32" s="41" t="s">
        <v>270</v>
      </c>
      <c r="G32" s="41" t="s">
        <v>272</v>
      </c>
      <c r="H32" s="41" t="s">
        <v>255</v>
      </c>
      <c r="I32" s="65">
        <v>5</v>
      </c>
      <c r="J32" s="91" t="s">
        <v>338</v>
      </c>
    </row>
    <row r="33" spans="1:10" ht="15.75">
      <c r="A33" s="55" t="s">
        <v>203</v>
      </c>
      <c r="B33" s="37" t="s">
        <v>12</v>
      </c>
      <c r="C33" s="41" t="s">
        <v>307</v>
      </c>
      <c r="D33" s="57">
        <v>46175</v>
      </c>
      <c r="E33" s="64">
        <v>38.6</v>
      </c>
      <c r="F33" s="41" t="s">
        <v>270</v>
      </c>
      <c r="G33" s="41" t="s">
        <v>274</v>
      </c>
      <c r="H33" s="41" t="s">
        <v>276</v>
      </c>
      <c r="I33" s="65">
        <v>4</v>
      </c>
      <c r="J33" s="91" t="s">
        <v>339</v>
      </c>
    </row>
    <row r="34" spans="1:10" ht="15.75">
      <c r="A34" s="55" t="s">
        <v>204</v>
      </c>
      <c r="B34" s="37" t="s">
        <v>31</v>
      </c>
      <c r="C34" s="41" t="s">
        <v>267</v>
      </c>
      <c r="D34" s="57">
        <v>46175</v>
      </c>
      <c r="E34" s="64">
        <v>39.6</v>
      </c>
      <c r="F34" s="41" t="s">
        <v>270</v>
      </c>
      <c r="G34" s="41" t="s">
        <v>272</v>
      </c>
      <c r="H34" s="41" t="s">
        <v>276</v>
      </c>
      <c r="I34" s="65">
        <v>4</v>
      </c>
      <c r="J34" s="91" t="s">
        <v>339</v>
      </c>
    </row>
    <row r="35" spans="1:10" ht="15.75">
      <c r="A35" s="55" t="s">
        <v>205</v>
      </c>
      <c r="B35" s="37" t="s">
        <v>32</v>
      </c>
      <c r="C35" s="41" t="s">
        <v>267</v>
      </c>
      <c r="D35" s="57">
        <v>46175</v>
      </c>
      <c r="E35" s="64">
        <v>40.6</v>
      </c>
      <c r="F35" s="41" t="s">
        <v>270</v>
      </c>
      <c r="G35" s="41" t="s">
        <v>272</v>
      </c>
      <c r="H35" s="41" t="s">
        <v>276</v>
      </c>
      <c r="I35" s="65">
        <v>4</v>
      </c>
      <c r="J35" s="91" t="s">
        <v>339</v>
      </c>
    </row>
    <row r="36" spans="1:10" ht="15.75">
      <c r="A36" s="55" t="s">
        <v>206</v>
      </c>
      <c r="B36" s="37" t="s">
        <v>33</v>
      </c>
      <c r="C36" s="41" t="s">
        <v>267</v>
      </c>
      <c r="D36" s="57">
        <v>46175</v>
      </c>
      <c r="E36" s="64">
        <v>41.6</v>
      </c>
      <c r="F36" s="41" t="s">
        <v>271</v>
      </c>
      <c r="G36" s="41" t="s">
        <v>272</v>
      </c>
      <c r="H36" s="41" t="s">
        <v>275</v>
      </c>
      <c r="I36" s="65">
        <v>3</v>
      </c>
      <c r="J36" s="91" t="s">
        <v>340</v>
      </c>
    </row>
    <row r="37" spans="1:10" ht="15.75">
      <c r="A37" s="55" t="s">
        <v>207</v>
      </c>
      <c r="B37" s="37" t="s">
        <v>34</v>
      </c>
      <c r="C37" s="41" t="s">
        <v>267</v>
      </c>
      <c r="D37" s="57">
        <v>46177</v>
      </c>
      <c r="E37" s="64">
        <v>42.6</v>
      </c>
      <c r="F37" s="41" t="s">
        <v>270</v>
      </c>
      <c r="G37" s="41" t="s">
        <v>272</v>
      </c>
      <c r="H37" s="41" t="s">
        <v>275</v>
      </c>
      <c r="I37" s="65">
        <v>3</v>
      </c>
      <c r="J37" s="91" t="s">
        <v>340</v>
      </c>
    </row>
    <row r="38" spans="1:10" ht="15.75">
      <c r="A38" s="55" t="s">
        <v>208</v>
      </c>
      <c r="B38" s="37" t="s">
        <v>35</v>
      </c>
      <c r="C38" s="41" t="s">
        <v>246</v>
      </c>
      <c r="D38" s="57">
        <v>46177</v>
      </c>
      <c r="E38" s="64">
        <v>43.6</v>
      </c>
      <c r="F38" s="41" t="s">
        <v>270</v>
      </c>
      <c r="G38" s="41" t="s">
        <v>272</v>
      </c>
      <c r="H38" s="41" t="s">
        <v>275</v>
      </c>
      <c r="I38" s="65">
        <v>3</v>
      </c>
      <c r="J38" s="91" t="s">
        <v>340</v>
      </c>
    </row>
    <row r="39" spans="1:10" ht="15.75">
      <c r="A39" s="55" t="s">
        <v>209</v>
      </c>
      <c r="B39" s="37" t="s">
        <v>4</v>
      </c>
      <c r="C39" s="41" t="s">
        <v>246</v>
      </c>
      <c r="D39" s="57">
        <v>46177</v>
      </c>
      <c r="E39" s="64">
        <v>44.6</v>
      </c>
      <c r="F39" s="41" t="s">
        <v>270</v>
      </c>
      <c r="G39" s="41" t="s">
        <v>272</v>
      </c>
      <c r="H39" s="41" t="s">
        <v>275</v>
      </c>
      <c r="I39" s="65">
        <v>3</v>
      </c>
      <c r="J39" s="91" t="s">
        <v>340</v>
      </c>
    </row>
    <row r="40" spans="1:10" ht="15.75">
      <c r="A40" s="55" t="s">
        <v>205</v>
      </c>
      <c r="B40" s="37" t="s">
        <v>36</v>
      </c>
      <c r="C40" s="41" t="s">
        <v>246</v>
      </c>
      <c r="D40" s="57">
        <v>46177</v>
      </c>
      <c r="E40" s="64">
        <v>45.6</v>
      </c>
      <c r="F40" s="41" t="s">
        <v>270</v>
      </c>
      <c r="G40" s="41" t="s">
        <v>272</v>
      </c>
      <c r="H40" s="41" t="s">
        <v>255</v>
      </c>
      <c r="I40" s="65">
        <v>5</v>
      </c>
      <c r="J40" s="91" t="s">
        <v>338</v>
      </c>
    </row>
    <row r="41" spans="1:10" ht="15.75">
      <c r="A41" s="55" t="s">
        <v>210</v>
      </c>
      <c r="B41" s="37" t="s">
        <v>37</v>
      </c>
      <c r="C41" s="41" t="s">
        <v>267</v>
      </c>
      <c r="D41" s="57">
        <v>46177</v>
      </c>
      <c r="E41" s="64">
        <v>46.6</v>
      </c>
      <c r="F41" s="41" t="s">
        <v>270</v>
      </c>
      <c r="G41" s="41" t="s">
        <v>272</v>
      </c>
      <c r="H41" s="41" t="s">
        <v>275</v>
      </c>
      <c r="I41" s="65">
        <v>3</v>
      </c>
      <c r="J41" s="91" t="s">
        <v>340</v>
      </c>
    </row>
    <row r="42" spans="1:10" ht="15.75">
      <c r="A42" s="55" t="s">
        <v>211</v>
      </c>
      <c r="B42" s="37" t="s">
        <v>38</v>
      </c>
      <c r="C42" s="41" t="s">
        <v>267</v>
      </c>
      <c r="D42" s="57">
        <v>46177</v>
      </c>
      <c r="E42" s="64">
        <v>47.6</v>
      </c>
      <c r="F42" s="41" t="s">
        <v>270</v>
      </c>
      <c r="G42" s="41" t="s">
        <v>272</v>
      </c>
      <c r="H42" s="41" t="s">
        <v>276</v>
      </c>
      <c r="I42" s="65">
        <v>4</v>
      </c>
      <c r="J42" s="91" t="s">
        <v>339</v>
      </c>
    </row>
    <row r="43" spans="1:10" ht="15.75">
      <c r="A43" s="55" t="s">
        <v>212</v>
      </c>
      <c r="B43" s="37" t="s">
        <v>39</v>
      </c>
      <c r="C43" s="41" t="s">
        <v>267</v>
      </c>
      <c r="D43" s="57">
        <v>46175</v>
      </c>
      <c r="E43" s="64">
        <v>48.6</v>
      </c>
      <c r="F43" s="41" t="s">
        <v>270</v>
      </c>
      <c r="G43" s="41" t="s">
        <v>272</v>
      </c>
      <c r="H43" s="41" t="s">
        <v>275</v>
      </c>
      <c r="I43" s="65">
        <v>3</v>
      </c>
      <c r="J43" s="91" t="s">
        <v>340</v>
      </c>
    </row>
    <row r="44" spans="1:10" ht="15.75">
      <c r="A44" s="55" t="s">
        <v>213</v>
      </c>
      <c r="B44" s="37" t="s">
        <v>40</v>
      </c>
      <c r="C44" s="41" t="s">
        <v>267</v>
      </c>
      <c r="D44" s="57">
        <v>46175</v>
      </c>
      <c r="E44" s="64">
        <v>49.6</v>
      </c>
      <c r="F44" s="41" t="s">
        <v>270</v>
      </c>
      <c r="G44" s="41" t="s">
        <v>272</v>
      </c>
      <c r="H44" s="41" t="s">
        <v>275</v>
      </c>
      <c r="I44" s="65">
        <v>3</v>
      </c>
      <c r="J44" s="91" t="s">
        <v>340</v>
      </c>
    </row>
    <row r="45" spans="1:10" ht="15.75">
      <c r="A45" s="55" t="s">
        <v>173</v>
      </c>
      <c r="B45" s="37" t="s">
        <v>24</v>
      </c>
      <c r="C45" s="41" t="s">
        <v>311</v>
      </c>
      <c r="D45" s="57">
        <v>46175</v>
      </c>
      <c r="E45" s="64">
        <v>50.6</v>
      </c>
      <c r="F45" s="41" t="s">
        <v>270</v>
      </c>
      <c r="G45" s="41" t="s">
        <v>272</v>
      </c>
      <c r="H45" s="41" t="s">
        <v>275</v>
      </c>
      <c r="I45" s="65">
        <v>3</v>
      </c>
      <c r="J45" s="91" t="s">
        <v>340</v>
      </c>
    </row>
    <row r="46" spans="1:10" ht="15.75">
      <c r="A46" s="55" t="s">
        <v>169</v>
      </c>
      <c r="B46" s="37" t="s">
        <v>30</v>
      </c>
      <c r="C46" s="41" t="s">
        <v>311</v>
      </c>
      <c r="D46" s="57">
        <v>46175</v>
      </c>
      <c r="E46" s="64">
        <v>51.6</v>
      </c>
      <c r="F46" s="41" t="s">
        <v>270</v>
      </c>
      <c r="G46" s="41" t="s">
        <v>272</v>
      </c>
      <c r="H46" s="41" t="s">
        <v>275</v>
      </c>
      <c r="I46" s="65">
        <v>3</v>
      </c>
      <c r="J46" s="91" t="s">
        <v>340</v>
      </c>
    </row>
    <row r="47" spans="1:10" ht="15.75">
      <c r="A47" s="55" t="s">
        <v>170</v>
      </c>
      <c r="B47" s="37" t="s">
        <v>41</v>
      </c>
      <c r="C47" s="41" t="s">
        <v>311</v>
      </c>
      <c r="D47" s="57">
        <v>46175</v>
      </c>
      <c r="E47" s="64">
        <v>52.6</v>
      </c>
      <c r="F47" s="41" t="s">
        <v>270</v>
      </c>
      <c r="G47" s="41" t="s">
        <v>274</v>
      </c>
      <c r="H47" s="41" t="s">
        <v>276</v>
      </c>
      <c r="I47" s="65">
        <v>4</v>
      </c>
      <c r="J47" s="91" t="s">
        <v>339</v>
      </c>
    </row>
    <row r="48" spans="1:10" ht="15.75">
      <c r="A48" s="55" t="s">
        <v>171</v>
      </c>
      <c r="B48" s="37" t="s">
        <v>42</v>
      </c>
      <c r="C48" s="41" t="s">
        <v>311</v>
      </c>
      <c r="D48" s="57">
        <v>46175</v>
      </c>
      <c r="E48" s="64">
        <v>53.6</v>
      </c>
      <c r="F48" s="41" t="s">
        <v>270</v>
      </c>
      <c r="G48" s="41" t="s">
        <v>274</v>
      </c>
      <c r="H48" s="41" t="s">
        <v>275</v>
      </c>
      <c r="I48" s="65">
        <v>3</v>
      </c>
      <c r="J48" s="91" t="s">
        <v>340</v>
      </c>
    </row>
    <row r="49" spans="1:10" ht="15.75">
      <c r="A49" s="55" t="s">
        <v>172</v>
      </c>
      <c r="B49" s="37" t="s">
        <v>43</v>
      </c>
      <c r="C49" s="41" t="s">
        <v>307</v>
      </c>
      <c r="D49" s="57">
        <v>46175</v>
      </c>
      <c r="E49" s="64">
        <v>54.6</v>
      </c>
      <c r="F49" s="41" t="s">
        <v>270</v>
      </c>
      <c r="G49" s="41" t="s">
        <v>274</v>
      </c>
      <c r="H49" s="41" t="s">
        <v>255</v>
      </c>
      <c r="I49" s="65">
        <v>5</v>
      </c>
      <c r="J49" s="91" t="s">
        <v>338</v>
      </c>
    </row>
    <row r="50" spans="1:10" ht="15.75">
      <c r="A50" s="55" t="s">
        <v>173</v>
      </c>
      <c r="B50" s="37" t="s">
        <v>44</v>
      </c>
      <c r="C50" s="41" t="s">
        <v>307</v>
      </c>
      <c r="D50" s="57">
        <v>46175</v>
      </c>
      <c r="E50" s="64">
        <v>55.6</v>
      </c>
      <c r="F50" s="41" t="s">
        <v>270</v>
      </c>
      <c r="G50" s="41" t="s">
        <v>274</v>
      </c>
      <c r="H50" s="41" t="s">
        <v>255</v>
      </c>
      <c r="I50" s="65">
        <v>5</v>
      </c>
      <c r="J50" s="91" t="s">
        <v>338</v>
      </c>
    </row>
    <row r="51" spans="1:10" ht="15.75">
      <c r="A51" s="55" t="s">
        <v>174</v>
      </c>
      <c r="B51" s="37" t="s">
        <v>45</v>
      </c>
      <c r="C51" s="41" t="s">
        <v>246</v>
      </c>
      <c r="D51" s="57">
        <v>46176</v>
      </c>
      <c r="E51" s="64">
        <v>56.6</v>
      </c>
      <c r="F51" s="41" t="s">
        <v>270</v>
      </c>
      <c r="G51" s="41" t="s">
        <v>272</v>
      </c>
      <c r="H51" s="41" t="s">
        <v>276</v>
      </c>
      <c r="I51" s="65">
        <v>4</v>
      </c>
      <c r="J51" s="91" t="s">
        <v>339</v>
      </c>
    </row>
    <row r="52" spans="1:10" ht="15.75">
      <c r="A52" s="55" t="s">
        <v>175</v>
      </c>
      <c r="B52" s="37" t="s">
        <v>46</v>
      </c>
      <c r="C52" s="41" t="s">
        <v>269</v>
      </c>
      <c r="D52" s="57">
        <v>46176</v>
      </c>
      <c r="E52" s="64">
        <v>57.6</v>
      </c>
      <c r="F52" s="41" t="s">
        <v>270</v>
      </c>
      <c r="G52" s="41" t="s">
        <v>272</v>
      </c>
      <c r="H52" s="41" t="s">
        <v>255</v>
      </c>
      <c r="I52" s="65">
        <v>5</v>
      </c>
      <c r="J52" s="91" t="s">
        <v>338</v>
      </c>
    </row>
    <row r="53" spans="1:10" ht="15.75">
      <c r="A53" s="55" t="s">
        <v>176</v>
      </c>
      <c r="B53" s="37" t="s">
        <v>47</v>
      </c>
      <c r="C53" s="41" t="s">
        <v>267</v>
      </c>
      <c r="D53" s="57">
        <v>46176</v>
      </c>
      <c r="E53" s="64">
        <v>58.6</v>
      </c>
      <c r="F53" s="41" t="s">
        <v>270</v>
      </c>
      <c r="G53" s="41" t="s">
        <v>272</v>
      </c>
      <c r="H53" s="41" t="s">
        <v>276</v>
      </c>
      <c r="I53" s="65">
        <v>4</v>
      </c>
      <c r="J53" s="91" t="s">
        <v>339</v>
      </c>
    </row>
    <row r="54" spans="1:10" ht="15.75">
      <c r="A54" s="55" t="s">
        <v>177</v>
      </c>
      <c r="B54" s="37" t="s">
        <v>48</v>
      </c>
      <c r="C54" s="41" t="s">
        <v>267</v>
      </c>
      <c r="D54" s="57">
        <v>46176</v>
      </c>
      <c r="E54" s="64">
        <v>59.6</v>
      </c>
      <c r="F54" s="41" t="s">
        <v>270</v>
      </c>
      <c r="G54" s="41" t="s">
        <v>272</v>
      </c>
      <c r="H54" s="41" t="s">
        <v>255</v>
      </c>
      <c r="I54" s="65">
        <v>5</v>
      </c>
      <c r="J54" s="91" t="s">
        <v>338</v>
      </c>
    </row>
    <row r="55" spans="1:10" ht="15.75">
      <c r="A55" s="55" t="s">
        <v>214</v>
      </c>
      <c r="B55" s="37" t="s">
        <v>49</v>
      </c>
      <c r="C55" s="41" t="s">
        <v>267</v>
      </c>
      <c r="D55" s="57">
        <v>46176</v>
      </c>
      <c r="E55" s="64">
        <v>60.6</v>
      </c>
      <c r="F55" s="41" t="s">
        <v>270</v>
      </c>
      <c r="G55" s="41" t="s">
        <v>272</v>
      </c>
      <c r="H55" s="41" t="s">
        <v>255</v>
      </c>
      <c r="I55" s="65">
        <v>5</v>
      </c>
      <c r="J55" s="91" t="s">
        <v>338</v>
      </c>
    </row>
    <row r="56" spans="1:10" ht="15.75">
      <c r="A56" s="55" t="s">
        <v>215</v>
      </c>
      <c r="B56" s="37" t="s">
        <v>50</v>
      </c>
      <c r="C56" s="41" t="s">
        <v>267</v>
      </c>
      <c r="D56" s="57">
        <v>46176</v>
      </c>
      <c r="E56" s="64">
        <v>61.6</v>
      </c>
      <c r="F56" s="41" t="s">
        <v>270</v>
      </c>
      <c r="G56" s="41" t="s">
        <v>272</v>
      </c>
      <c r="H56" s="41" t="s">
        <v>255</v>
      </c>
      <c r="I56" s="65">
        <v>5</v>
      </c>
      <c r="J56" s="91" t="s">
        <v>338</v>
      </c>
    </row>
    <row r="57" spans="1:10" ht="15.75">
      <c r="A57" s="55" t="s">
        <v>216</v>
      </c>
      <c r="B57" s="37" t="s">
        <v>51</v>
      </c>
      <c r="C57" s="41" t="s">
        <v>267</v>
      </c>
      <c r="D57" s="57">
        <v>46176</v>
      </c>
      <c r="E57" s="64">
        <v>62.6</v>
      </c>
      <c r="F57" s="41" t="s">
        <v>270</v>
      </c>
      <c r="G57" s="41" t="s">
        <v>272</v>
      </c>
      <c r="H57" s="41" t="s">
        <v>255</v>
      </c>
      <c r="I57" s="65">
        <v>5</v>
      </c>
      <c r="J57" s="91" t="s">
        <v>338</v>
      </c>
    </row>
    <row r="58" spans="1:10" ht="15.75">
      <c r="A58" s="55" t="s">
        <v>217</v>
      </c>
      <c r="B58" s="37" t="s">
        <v>52</v>
      </c>
      <c r="C58" s="41" t="s">
        <v>267</v>
      </c>
      <c r="D58" s="57">
        <v>46176</v>
      </c>
      <c r="E58" s="64">
        <v>63.6</v>
      </c>
      <c r="F58" s="41" t="s">
        <v>270</v>
      </c>
      <c r="G58" s="41" t="s">
        <v>272</v>
      </c>
      <c r="H58" s="41" t="s">
        <v>275</v>
      </c>
      <c r="I58" s="65">
        <v>3</v>
      </c>
      <c r="J58" s="91" t="s">
        <v>340</v>
      </c>
    </row>
    <row r="59" spans="1:10" ht="15.75">
      <c r="A59" s="55" t="s">
        <v>221</v>
      </c>
      <c r="B59" s="37" t="s">
        <v>57</v>
      </c>
      <c r="C59" s="41" t="s">
        <v>267</v>
      </c>
      <c r="D59" s="57">
        <v>46176</v>
      </c>
      <c r="E59" s="64">
        <v>64.599999999999994</v>
      </c>
      <c r="F59" s="41" t="s">
        <v>270</v>
      </c>
      <c r="G59" s="41" t="s">
        <v>272</v>
      </c>
      <c r="H59" s="41" t="s">
        <v>275</v>
      </c>
      <c r="I59" s="65">
        <v>3</v>
      </c>
      <c r="J59" s="91" t="s">
        <v>340</v>
      </c>
    </row>
    <row r="60" spans="1:10" ht="15.75">
      <c r="A60" s="55" t="s">
        <v>222</v>
      </c>
      <c r="B60" s="37" t="s">
        <v>58</v>
      </c>
      <c r="C60" s="41" t="s">
        <v>268</v>
      </c>
      <c r="D60" s="57">
        <v>46176</v>
      </c>
      <c r="E60" s="64">
        <v>65.599999999999994</v>
      </c>
      <c r="F60" s="41" t="s">
        <v>270</v>
      </c>
      <c r="G60" s="41" t="s">
        <v>272</v>
      </c>
      <c r="H60" s="41" t="s">
        <v>276</v>
      </c>
      <c r="I60" s="65">
        <v>4</v>
      </c>
      <c r="J60" s="91" t="s">
        <v>339</v>
      </c>
    </row>
    <row r="61" spans="1:10" ht="15.75">
      <c r="A61" s="55" t="s">
        <v>223</v>
      </c>
      <c r="B61" s="37" t="s">
        <v>59</v>
      </c>
      <c r="C61" s="41" t="s">
        <v>308</v>
      </c>
      <c r="D61" s="57">
        <v>46176</v>
      </c>
      <c r="E61" s="64">
        <v>66.599999999999994</v>
      </c>
      <c r="F61" s="41" t="s">
        <v>270</v>
      </c>
      <c r="G61" s="41" t="s">
        <v>272</v>
      </c>
      <c r="H61" s="41" t="s">
        <v>255</v>
      </c>
      <c r="I61" s="65">
        <v>5</v>
      </c>
      <c r="J61" s="91" t="s">
        <v>338</v>
      </c>
    </row>
    <row r="62" spans="1:10" ht="15.75">
      <c r="A62" s="55" t="s">
        <v>224</v>
      </c>
      <c r="B62" s="37" t="s">
        <v>60</v>
      </c>
      <c r="C62" s="41" t="s">
        <v>309</v>
      </c>
      <c r="D62" s="57">
        <v>46176</v>
      </c>
      <c r="E62" s="64">
        <v>67.599999999999994</v>
      </c>
      <c r="F62" s="41" t="s">
        <v>270</v>
      </c>
      <c r="G62" s="41" t="s">
        <v>272</v>
      </c>
      <c r="H62" s="41" t="s">
        <v>275</v>
      </c>
      <c r="I62" s="65">
        <v>3</v>
      </c>
      <c r="J62" s="91" t="s">
        <v>340</v>
      </c>
    </row>
    <row r="63" spans="1:10" ht="15.75">
      <c r="A63" s="55" t="s">
        <v>225</v>
      </c>
      <c r="B63" s="37" t="s">
        <v>61</v>
      </c>
      <c r="C63" s="41" t="s">
        <v>310</v>
      </c>
      <c r="D63" s="57">
        <v>46176</v>
      </c>
      <c r="E63" s="64">
        <v>68.599999999999994</v>
      </c>
      <c r="F63" s="41" t="s">
        <v>270</v>
      </c>
      <c r="G63" s="41" t="s">
        <v>272</v>
      </c>
      <c r="H63" s="41" t="s">
        <v>276</v>
      </c>
      <c r="I63" s="65">
        <v>4</v>
      </c>
      <c r="J63" s="91" t="s">
        <v>339</v>
      </c>
    </row>
    <row r="64" spans="1:10" ht="15.75">
      <c r="A64" s="55" t="s">
        <v>226</v>
      </c>
      <c r="B64" s="37" t="s">
        <v>62</v>
      </c>
      <c r="C64" s="41" t="s">
        <v>269</v>
      </c>
      <c r="D64" s="57">
        <v>46176</v>
      </c>
      <c r="E64" s="64">
        <v>69.599999999999994</v>
      </c>
      <c r="F64" s="41" t="s">
        <v>270</v>
      </c>
      <c r="G64" s="41" t="s">
        <v>272</v>
      </c>
      <c r="H64" s="41" t="s">
        <v>276</v>
      </c>
      <c r="I64" s="65">
        <v>4</v>
      </c>
      <c r="J64" s="91" t="s">
        <v>339</v>
      </c>
    </row>
    <row r="65" spans="1:10" ht="15.75">
      <c r="A65" s="55" t="s">
        <v>227</v>
      </c>
      <c r="B65" s="37" t="s">
        <v>63</v>
      </c>
      <c r="C65" s="41" t="s">
        <v>269</v>
      </c>
      <c r="D65" s="57">
        <v>46176</v>
      </c>
      <c r="E65" s="64">
        <v>70.599999999999994</v>
      </c>
      <c r="F65" s="41" t="s">
        <v>270</v>
      </c>
      <c r="G65" s="41" t="s">
        <v>272</v>
      </c>
      <c r="H65" s="41" t="s">
        <v>275</v>
      </c>
      <c r="I65" s="65">
        <v>3</v>
      </c>
      <c r="J65" s="91" t="s">
        <v>340</v>
      </c>
    </row>
    <row r="66" spans="1:10" ht="15.75">
      <c r="A66" s="55" t="s">
        <v>223</v>
      </c>
      <c r="B66" s="37" t="s">
        <v>64</v>
      </c>
      <c r="C66" s="41" t="s">
        <v>269</v>
      </c>
      <c r="D66" s="57">
        <v>46176</v>
      </c>
      <c r="E66" s="64">
        <v>71.599999999999994</v>
      </c>
      <c r="F66" s="41" t="s">
        <v>270</v>
      </c>
      <c r="G66" s="41" t="s">
        <v>272</v>
      </c>
      <c r="H66" s="41" t="s">
        <v>255</v>
      </c>
      <c r="I66" s="65">
        <v>5</v>
      </c>
      <c r="J66" s="91" t="s">
        <v>338</v>
      </c>
    </row>
    <row r="67" spans="1:10" ht="15.75">
      <c r="A67" s="55" t="s">
        <v>230</v>
      </c>
      <c r="B67" s="37" t="s">
        <v>51</v>
      </c>
      <c r="C67" s="41" t="s">
        <v>269</v>
      </c>
      <c r="D67" s="57">
        <v>46176</v>
      </c>
      <c r="E67" s="64">
        <v>72.599999999999994</v>
      </c>
      <c r="F67" s="41" t="s">
        <v>270</v>
      </c>
      <c r="G67" s="41" t="s">
        <v>272</v>
      </c>
      <c r="H67" s="41" t="s">
        <v>276</v>
      </c>
      <c r="I67" s="65">
        <v>4</v>
      </c>
      <c r="J67" s="91" t="s">
        <v>339</v>
      </c>
    </row>
    <row r="68" spans="1:10" ht="15.75">
      <c r="A68" s="55" t="s">
        <v>231</v>
      </c>
      <c r="B68" s="37" t="s">
        <v>12</v>
      </c>
      <c r="C68" s="41" t="s">
        <v>246</v>
      </c>
      <c r="D68" s="57">
        <v>46176</v>
      </c>
      <c r="E68" s="64">
        <v>73.599999999999994</v>
      </c>
      <c r="F68" s="41" t="s">
        <v>270</v>
      </c>
      <c r="G68" s="41" t="s">
        <v>272</v>
      </c>
      <c r="H68" s="41" t="s">
        <v>255</v>
      </c>
      <c r="I68" s="65">
        <v>5</v>
      </c>
      <c r="J68" s="91" t="s">
        <v>338</v>
      </c>
    </row>
    <row r="69" spans="1:10" ht="15.75">
      <c r="A69" s="59" t="s">
        <v>232</v>
      </c>
      <c r="B69" s="51" t="s">
        <v>48</v>
      </c>
      <c r="C69" s="53" t="s">
        <v>246</v>
      </c>
      <c r="D69" s="61">
        <v>46177</v>
      </c>
      <c r="E69" s="66">
        <v>74.599999999999994</v>
      </c>
      <c r="F69" s="53" t="s">
        <v>270</v>
      </c>
      <c r="G69" s="53" t="s">
        <v>272</v>
      </c>
      <c r="H69" s="53" t="s">
        <v>276</v>
      </c>
      <c r="I69" s="67">
        <v>4</v>
      </c>
      <c r="J69" s="91" t="s">
        <v>339</v>
      </c>
    </row>
  </sheetData>
  <mergeCells count="1">
    <mergeCell ref="A1:J2"/>
  </mergeCells>
  <conditionalFormatting sqref="G1:G2 G4:G1048576">
    <cfRule type="containsText" dxfId="9" priority="7" operator="containsText" text="COMPLETED">
      <formula>NOT(ISERROR(SEARCH("COMPLETED",G1)))</formula>
    </cfRule>
  </conditionalFormatting>
  <conditionalFormatting sqref="C1:C1048576">
    <cfRule type="containsText" dxfId="8" priority="6" operator="containsText" text="FINAL">
      <formula>NOT(ISERROR(SEARCH("FINAL",C1)))</formula>
    </cfRule>
  </conditionalFormatting>
  <conditionalFormatting sqref="G4:G83">
    <cfRule type="containsText" dxfId="7" priority="4" operator="containsText" text="COMPLETED">
      <formula>NOT(ISERROR(SEARCH("COMPLETED",G4)))</formula>
    </cfRule>
    <cfRule type="colorScale" priority="5">
      <colorScale>
        <cfvo type="min" val="0"/>
        <cfvo type="max" val="0"/>
        <color theme="3" tint="-0.249977111117893"/>
        <color rgb="FFFFEF9C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3"/>
  <sheetViews>
    <sheetView workbookViewId="0">
      <selection activeCell="J3" sqref="J3"/>
    </sheetView>
  </sheetViews>
  <sheetFormatPr defaultRowHeight="15"/>
  <cols>
    <col min="1" max="1" width="16" customWidth="1"/>
    <col min="2" max="2" width="21.42578125" customWidth="1"/>
    <col min="3" max="3" width="21.42578125" bestFit="1" customWidth="1"/>
    <col min="4" max="4" width="17.85546875" customWidth="1"/>
    <col min="5" max="5" width="18.5703125" customWidth="1"/>
    <col min="6" max="6" width="21.42578125" customWidth="1"/>
    <col min="7" max="7" width="18.42578125" customWidth="1"/>
    <col min="8" max="8" width="18.42578125" style="9" customWidth="1"/>
  </cols>
  <sheetData>
    <row r="1" spans="1:8" ht="15" customHeight="1">
      <c r="A1" s="99" t="s">
        <v>287</v>
      </c>
      <c r="B1" s="100"/>
      <c r="C1" s="100"/>
      <c r="D1" s="100"/>
      <c r="E1" s="100"/>
      <c r="F1" s="100"/>
      <c r="G1" s="100"/>
      <c r="H1" s="101"/>
    </row>
    <row r="2" spans="1:8">
      <c r="A2" s="102"/>
      <c r="B2" s="103"/>
      <c r="C2" s="103"/>
      <c r="D2" s="103"/>
      <c r="E2" s="103"/>
      <c r="F2" s="103"/>
      <c r="G2" s="103"/>
      <c r="H2" s="104"/>
    </row>
    <row r="3" spans="1:8" s="8" customFormat="1" ht="36.75" customHeight="1">
      <c r="A3" s="36" t="s">
        <v>67</v>
      </c>
      <c r="B3" s="36" t="s">
        <v>261</v>
      </c>
      <c r="C3" s="36" t="s">
        <v>280</v>
      </c>
      <c r="D3" s="10" t="s">
        <v>281</v>
      </c>
      <c r="E3" s="10" t="s">
        <v>282</v>
      </c>
      <c r="F3" s="10" t="s">
        <v>286</v>
      </c>
      <c r="G3" s="10" t="s">
        <v>283</v>
      </c>
      <c r="H3" s="11" t="s">
        <v>284</v>
      </c>
    </row>
    <row r="4" spans="1:8">
      <c r="A4" s="55" t="s">
        <v>170</v>
      </c>
      <c r="B4" s="37" t="s">
        <v>1</v>
      </c>
      <c r="C4" s="37" t="s">
        <v>85</v>
      </c>
      <c r="D4" s="56">
        <v>45064</v>
      </c>
      <c r="E4" s="57">
        <v>46174</v>
      </c>
      <c r="F4" s="41" t="s">
        <v>285</v>
      </c>
      <c r="G4" s="57">
        <v>46179</v>
      </c>
      <c r="H4" s="58">
        <v>46203</v>
      </c>
    </row>
    <row r="5" spans="1:8">
      <c r="A5" s="55" t="s">
        <v>172</v>
      </c>
      <c r="B5" s="37" t="s">
        <v>3</v>
      </c>
      <c r="C5" s="37" t="s">
        <v>86</v>
      </c>
      <c r="D5" s="56">
        <v>24866</v>
      </c>
      <c r="E5" s="57">
        <v>46174</v>
      </c>
      <c r="F5" s="41" t="s">
        <v>248</v>
      </c>
      <c r="G5" s="57">
        <v>46179</v>
      </c>
      <c r="H5" s="58">
        <v>46204</v>
      </c>
    </row>
    <row r="6" spans="1:8">
      <c r="A6" s="55" t="s">
        <v>175</v>
      </c>
      <c r="B6" s="37" t="s">
        <v>6</v>
      </c>
      <c r="C6" s="37" t="s">
        <v>87</v>
      </c>
      <c r="D6" s="56">
        <v>45611</v>
      </c>
      <c r="E6" s="57">
        <v>46175</v>
      </c>
      <c r="F6" s="41" t="s">
        <v>285</v>
      </c>
      <c r="G6" s="57">
        <v>46179</v>
      </c>
      <c r="H6" s="58">
        <v>46205</v>
      </c>
    </row>
    <row r="7" spans="1:8">
      <c r="A7" s="55" t="s">
        <v>176</v>
      </c>
      <c r="B7" s="37" t="s">
        <v>7</v>
      </c>
      <c r="C7" s="37" t="s">
        <v>84</v>
      </c>
      <c r="D7" s="56">
        <v>47424</v>
      </c>
      <c r="E7" s="57">
        <v>46174</v>
      </c>
      <c r="F7" s="41" t="s">
        <v>285</v>
      </c>
      <c r="G7" s="57">
        <v>46179</v>
      </c>
      <c r="H7" s="58">
        <v>46206</v>
      </c>
    </row>
    <row r="8" spans="1:8">
      <c r="A8" s="55" t="s">
        <v>181</v>
      </c>
      <c r="B8" s="37" t="s">
        <v>12</v>
      </c>
      <c r="C8" s="37" t="s">
        <v>86</v>
      </c>
      <c r="D8" s="56">
        <v>42698</v>
      </c>
      <c r="E8" s="57">
        <v>46174</v>
      </c>
      <c r="F8" s="41" t="s">
        <v>285</v>
      </c>
      <c r="G8" s="57">
        <v>46179</v>
      </c>
      <c r="H8" s="58">
        <v>46207</v>
      </c>
    </row>
    <row r="9" spans="1:8">
      <c r="A9" s="55" t="s">
        <v>182</v>
      </c>
      <c r="B9" s="37" t="s">
        <v>13</v>
      </c>
      <c r="C9" s="37" t="s">
        <v>84</v>
      </c>
      <c r="D9" s="56">
        <v>44320</v>
      </c>
      <c r="E9" s="57">
        <v>46176</v>
      </c>
      <c r="F9" s="41" t="s">
        <v>285</v>
      </c>
      <c r="G9" s="57">
        <v>46179</v>
      </c>
      <c r="H9" s="58">
        <v>46208</v>
      </c>
    </row>
    <row r="10" spans="1:8">
      <c r="A10" s="55" t="s">
        <v>183</v>
      </c>
      <c r="B10" s="37" t="s">
        <v>5</v>
      </c>
      <c r="C10" s="37" t="s">
        <v>85</v>
      </c>
      <c r="D10" s="56">
        <v>30765</v>
      </c>
      <c r="E10" s="57">
        <v>46175</v>
      </c>
      <c r="F10" s="41" t="s">
        <v>248</v>
      </c>
      <c r="G10" s="57">
        <v>46179</v>
      </c>
      <c r="H10" s="58">
        <v>46209</v>
      </c>
    </row>
    <row r="11" spans="1:8">
      <c r="A11" s="55" t="s">
        <v>184</v>
      </c>
      <c r="B11" s="37" t="s">
        <v>15</v>
      </c>
      <c r="C11" s="37" t="s">
        <v>87</v>
      </c>
      <c r="D11" s="56">
        <v>46369</v>
      </c>
      <c r="E11" s="57">
        <v>46174</v>
      </c>
      <c r="F11" s="41" t="s">
        <v>285</v>
      </c>
      <c r="G11" s="57">
        <v>46179</v>
      </c>
      <c r="H11" s="58">
        <v>46193</v>
      </c>
    </row>
    <row r="12" spans="1:8">
      <c r="A12" s="55" t="s">
        <v>188</v>
      </c>
      <c r="B12" s="37" t="s">
        <v>19</v>
      </c>
      <c r="C12" s="37" t="s">
        <v>86</v>
      </c>
      <c r="D12" s="56">
        <v>43109</v>
      </c>
      <c r="E12" s="57">
        <v>46174</v>
      </c>
      <c r="F12" s="41" t="s">
        <v>285</v>
      </c>
      <c r="G12" s="57">
        <v>46179</v>
      </c>
      <c r="H12" s="58">
        <v>46194</v>
      </c>
    </row>
    <row r="13" spans="1:8">
      <c r="A13" s="55" t="s">
        <v>189</v>
      </c>
      <c r="B13" s="37" t="s">
        <v>18</v>
      </c>
      <c r="C13" s="37" t="s">
        <v>88</v>
      </c>
      <c r="D13" s="56">
        <v>34699</v>
      </c>
      <c r="E13" s="57">
        <v>46174</v>
      </c>
      <c r="F13" s="41" t="s">
        <v>285</v>
      </c>
      <c r="G13" s="57">
        <v>46179</v>
      </c>
      <c r="H13" s="58">
        <v>46195</v>
      </c>
    </row>
    <row r="14" spans="1:8">
      <c r="A14" s="55" t="s">
        <v>197</v>
      </c>
      <c r="B14" s="37" t="s">
        <v>25</v>
      </c>
      <c r="C14" s="37" t="s">
        <v>84</v>
      </c>
      <c r="D14" s="56">
        <v>37358</v>
      </c>
      <c r="E14" s="57">
        <v>46176</v>
      </c>
      <c r="F14" s="41" t="s">
        <v>285</v>
      </c>
      <c r="G14" s="57">
        <v>46179</v>
      </c>
      <c r="H14" s="58">
        <v>46196</v>
      </c>
    </row>
    <row r="15" spans="1:8">
      <c r="A15" s="55" t="s">
        <v>196</v>
      </c>
      <c r="B15" s="37" t="s">
        <v>29</v>
      </c>
      <c r="C15" s="37" t="s">
        <v>85</v>
      </c>
      <c r="D15" s="56">
        <v>20572</v>
      </c>
      <c r="E15" s="57">
        <v>46174</v>
      </c>
      <c r="F15" s="41" t="s">
        <v>285</v>
      </c>
      <c r="G15" s="57">
        <v>46179</v>
      </c>
      <c r="H15" s="58">
        <v>46197</v>
      </c>
    </row>
    <row r="16" spans="1:8">
      <c r="A16" s="55" t="s">
        <v>202</v>
      </c>
      <c r="B16" s="37" t="s">
        <v>22</v>
      </c>
      <c r="C16" s="37" t="s">
        <v>84</v>
      </c>
      <c r="D16" s="56">
        <v>25527</v>
      </c>
      <c r="E16" s="57">
        <v>46174</v>
      </c>
      <c r="F16" s="41" t="s">
        <v>285</v>
      </c>
      <c r="G16" s="57">
        <v>46179</v>
      </c>
      <c r="H16" s="58">
        <v>46198</v>
      </c>
    </row>
    <row r="17" spans="1:8">
      <c r="A17" s="55" t="s">
        <v>205</v>
      </c>
      <c r="B17" s="37" t="s">
        <v>36</v>
      </c>
      <c r="C17" s="37" t="s">
        <v>88</v>
      </c>
      <c r="D17" s="56">
        <v>20486</v>
      </c>
      <c r="E17" s="57">
        <v>46175</v>
      </c>
      <c r="F17" s="41" t="s">
        <v>285</v>
      </c>
      <c r="G17" s="57">
        <v>46179</v>
      </c>
      <c r="H17" s="58">
        <v>46199</v>
      </c>
    </row>
    <row r="18" spans="1:8">
      <c r="A18" s="55" t="s">
        <v>172</v>
      </c>
      <c r="B18" s="37" t="s">
        <v>43</v>
      </c>
      <c r="C18" s="37" t="s">
        <v>85</v>
      </c>
      <c r="D18" s="56">
        <v>42132</v>
      </c>
      <c r="E18" s="57">
        <v>46175</v>
      </c>
      <c r="F18" s="41" t="s">
        <v>285</v>
      </c>
      <c r="G18" s="57">
        <v>46179</v>
      </c>
      <c r="H18" s="58">
        <v>46200</v>
      </c>
    </row>
    <row r="19" spans="1:8">
      <c r="A19" s="55" t="s">
        <v>173</v>
      </c>
      <c r="B19" s="37" t="s">
        <v>44</v>
      </c>
      <c r="C19" s="37" t="s">
        <v>88</v>
      </c>
      <c r="D19" s="56">
        <v>27209</v>
      </c>
      <c r="E19" s="57">
        <v>46175</v>
      </c>
      <c r="F19" s="41" t="s">
        <v>285</v>
      </c>
      <c r="G19" s="57">
        <v>46179</v>
      </c>
      <c r="H19" s="58">
        <v>46201</v>
      </c>
    </row>
    <row r="20" spans="1:8">
      <c r="A20" s="55" t="s">
        <v>175</v>
      </c>
      <c r="B20" s="37" t="s">
        <v>46</v>
      </c>
      <c r="C20" s="37" t="s">
        <v>87</v>
      </c>
      <c r="D20" s="56">
        <v>31891</v>
      </c>
      <c r="E20" s="57">
        <v>46175</v>
      </c>
      <c r="F20" s="41" t="s">
        <v>285</v>
      </c>
      <c r="G20" s="57">
        <v>46179</v>
      </c>
      <c r="H20" s="58">
        <v>46202</v>
      </c>
    </row>
    <row r="21" spans="1:8">
      <c r="A21" s="55" t="s">
        <v>177</v>
      </c>
      <c r="B21" s="37" t="s">
        <v>48</v>
      </c>
      <c r="C21" s="37" t="s">
        <v>85</v>
      </c>
      <c r="D21" s="56">
        <v>28923</v>
      </c>
      <c r="E21" s="57">
        <v>46175</v>
      </c>
      <c r="F21" s="41" t="s">
        <v>285</v>
      </c>
      <c r="G21" s="57">
        <v>46179</v>
      </c>
      <c r="H21" s="58">
        <v>46214</v>
      </c>
    </row>
    <row r="22" spans="1:8">
      <c r="A22" s="55" t="s">
        <v>214</v>
      </c>
      <c r="B22" s="37" t="s">
        <v>49</v>
      </c>
      <c r="C22" s="37" t="s">
        <v>85</v>
      </c>
      <c r="D22" s="56">
        <v>40687</v>
      </c>
      <c r="E22" s="57">
        <v>46175</v>
      </c>
      <c r="F22" s="41" t="s">
        <v>285</v>
      </c>
      <c r="G22" s="57">
        <v>46179</v>
      </c>
      <c r="H22" s="58">
        <v>46215</v>
      </c>
    </row>
    <row r="23" spans="1:8">
      <c r="A23" s="55" t="s">
        <v>215</v>
      </c>
      <c r="B23" s="37" t="s">
        <v>50</v>
      </c>
      <c r="C23" s="37" t="s">
        <v>86</v>
      </c>
      <c r="D23" s="56">
        <v>24193</v>
      </c>
      <c r="E23" s="57">
        <v>46175</v>
      </c>
      <c r="F23" s="41" t="s">
        <v>285</v>
      </c>
      <c r="G23" s="57">
        <v>46179</v>
      </c>
      <c r="H23" s="58">
        <v>46216</v>
      </c>
    </row>
    <row r="24" spans="1:8">
      <c r="A24" s="55" t="s">
        <v>216</v>
      </c>
      <c r="B24" s="37" t="s">
        <v>51</v>
      </c>
      <c r="C24" s="37" t="s">
        <v>84</v>
      </c>
      <c r="D24" s="56">
        <v>34837</v>
      </c>
      <c r="E24" s="57">
        <v>46175</v>
      </c>
      <c r="F24" s="41" t="s">
        <v>285</v>
      </c>
      <c r="G24" s="57">
        <v>46179</v>
      </c>
      <c r="H24" s="58">
        <v>46217</v>
      </c>
    </row>
    <row r="25" spans="1:8">
      <c r="A25" s="55" t="s">
        <v>223</v>
      </c>
      <c r="B25" s="37" t="s">
        <v>59</v>
      </c>
      <c r="C25" s="37" t="s">
        <v>88</v>
      </c>
      <c r="D25" s="56">
        <v>39428</v>
      </c>
      <c r="E25" s="57">
        <v>46175</v>
      </c>
      <c r="F25" s="41" t="s">
        <v>285</v>
      </c>
      <c r="G25" s="57">
        <v>46179</v>
      </c>
      <c r="H25" s="58">
        <v>46218</v>
      </c>
    </row>
    <row r="26" spans="1:8">
      <c r="A26" s="55" t="s">
        <v>223</v>
      </c>
      <c r="B26" s="37" t="s">
        <v>64</v>
      </c>
      <c r="C26" s="37" t="s">
        <v>84</v>
      </c>
      <c r="D26" s="56">
        <v>24445</v>
      </c>
      <c r="E26" s="57">
        <v>46175</v>
      </c>
      <c r="F26" s="41" t="s">
        <v>285</v>
      </c>
      <c r="G26" s="57">
        <v>46179</v>
      </c>
      <c r="H26" s="58">
        <v>46219</v>
      </c>
    </row>
    <row r="27" spans="1:8">
      <c r="A27" s="59" t="s">
        <v>231</v>
      </c>
      <c r="B27" s="51" t="s">
        <v>12</v>
      </c>
      <c r="C27" s="51" t="s">
        <v>87</v>
      </c>
      <c r="D27" s="60">
        <v>44968</v>
      </c>
      <c r="E27" s="61">
        <v>46175</v>
      </c>
      <c r="F27" s="53" t="s">
        <v>285</v>
      </c>
      <c r="G27" s="61">
        <v>46179</v>
      </c>
      <c r="H27" s="62">
        <v>46220</v>
      </c>
    </row>
    <row r="28" spans="1:8">
      <c r="A28" s="1"/>
      <c r="B28" s="1"/>
      <c r="C28" s="1"/>
      <c r="D28" s="13"/>
      <c r="E28" s="6"/>
      <c r="F28" s="1"/>
      <c r="G28" s="6"/>
      <c r="H28" s="6"/>
    </row>
    <row r="29" spans="1:8">
      <c r="A29" s="1"/>
      <c r="B29" s="1"/>
      <c r="C29" s="1"/>
      <c r="D29" s="13"/>
      <c r="E29" s="6"/>
      <c r="F29" s="1"/>
      <c r="G29" s="6"/>
      <c r="H29" s="6"/>
    </row>
    <row r="30" spans="1:8">
      <c r="A30" s="1"/>
      <c r="B30" s="1"/>
      <c r="C30" s="1"/>
      <c r="D30" s="13"/>
      <c r="E30" s="6"/>
      <c r="F30" s="1"/>
      <c r="G30" s="6"/>
      <c r="H30" s="6"/>
    </row>
    <row r="31" spans="1:8">
      <c r="A31" s="1"/>
      <c r="B31" s="1"/>
      <c r="C31" s="1"/>
      <c r="D31" s="13"/>
      <c r="E31" s="6"/>
      <c r="F31" s="1"/>
      <c r="G31" s="6"/>
      <c r="H31" s="6"/>
    </row>
    <row r="32" spans="1:8">
      <c r="A32" s="1"/>
      <c r="B32" s="1"/>
      <c r="C32" s="1"/>
      <c r="D32" s="13"/>
      <c r="E32" s="6"/>
      <c r="F32" s="1"/>
      <c r="G32" s="6"/>
      <c r="H32" s="6"/>
    </row>
    <row r="33" spans="1:8">
      <c r="A33" s="1"/>
      <c r="B33" s="1"/>
      <c r="C33" s="1"/>
      <c r="D33" s="13"/>
      <c r="E33" s="6"/>
      <c r="F33" s="1"/>
      <c r="G33" s="6"/>
      <c r="H33" s="6"/>
    </row>
    <row r="34" spans="1:8">
      <c r="A34" s="1"/>
      <c r="B34" s="1"/>
      <c r="C34" s="1"/>
      <c r="D34" s="13"/>
      <c r="E34" s="6"/>
      <c r="F34" s="1"/>
      <c r="G34" s="6"/>
      <c r="H34" s="6"/>
    </row>
    <row r="35" spans="1:8">
      <c r="A35" s="1"/>
      <c r="B35" s="1"/>
      <c r="C35" s="1"/>
      <c r="D35" s="13"/>
      <c r="E35" s="6"/>
      <c r="F35" s="1"/>
      <c r="G35" s="6"/>
      <c r="H35" s="6"/>
    </row>
    <row r="36" spans="1:8">
      <c r="A36" s="1"/>
      <c r="B36" s="1"/>
      <c r="C36" s="1"/>
      <c r="D36" s="13"/>
      <c r="E36" s="6"/>
      <c r="F36" s="1"/>
      <c r="G36" s="6"/>
      <c r="H36" s="6"/>
    </row>
    <row r="37" spans="1:8">
      <c r="A37" s="1"/>
      <c r="B37" s="1"/>
      <c r="C37" s="1"/>
      <c r="D37" s="13"/>
      <c r="E37" s="6"/>
      <c r="F37" s="1"/>
      <c r="G37" s="6"/>
      <c r="H37" s="6"/>
    </row>
    <row r="38" spans="1:8">
      <c r="A38" s="1"/>
      <c r="B38" s="1"/>
      <c r="C38" s="1"/>
      <c r="D38" s="13"/>
      <c r="E38" s="6"/>
      <c r="F38" s="1"/>
      <c r="G38" s="6"/>
      <c r="H38" s="6"/>
    </row>
    <row r="39" spans="1:8">
      <c r="A39" s="1"/>
      <c r="B39" s="1"/>
      <c r="C39" s="1"/>
      <c r="D39" s="13"/>
      <c r="E39" s="6"/>
      <c r="F39" s="1"/>
      <c r="G39" s="6"/>
      <c r="H39" s="6"/>
    </row>
    <row r="40" spans="1:8">
      <c r="A40" s="1"/>
      <c r="B40" s="1"/>
      <c r="C40" s="1"/>
      <c r="D40" s="13"/>
      <c r="E40" s="6"/>
      <c r="F40" s="1"/>
      <c r="G40" s="6"/>
      <c r="H40" s="6"/>
    </row>
    <row r="41" spans="1:8">
      <c r="A41" s="1"/>
      <c r="B41" s="1"/>
      <c r="C41" s="1"/>
      <c r="D41" s="13"/>
      <c r="E41" s="6"/>
      <c r="F41" s="1"/>
      <c r="G41" s="6"/>
      <c r="H41" s="6"/>
    </row>
    <row r="42" spans="1:8">
      <c r="A42" s="1"/>
      <c r="B42" s="1"/>
      <c r="C42" s="1"/>
      <c r="D42" s="13"/>
      <c r="E42" s="6"/>
      <c r="F42" s="1"/>
      <c r="G42" s="6"/>
      <c r="H42" s="6"/>
    </row>
    <row r="43" spans="1:8">
      <c r="A43" s="1"/>
      <c r="B43" s="1"/>
      <c r="C43" s="1"/>
      <c r="D43" s="13"/>
      <c r="E43" s="6"/>
      <c r="F43" s="1"/>
      <c r="G43" s="6"/>
      <c r="H43" s="6"/>
    </row>
    <row r="44" spans="1:8">
      <c r="A44" s="1"/>
      <c r="B44" s="1"/>
      <c r="C44" s="1"/>
      <c r="D44" s="13"/>
      <c r="E44" s="6"/>
      <c r="F44" s="1"/>
      <c r="G44" s="6"/>
      <c r="H44" s="6"/>
    </row>
    <row r="45" spans="1:8">
      <c r="A45" s="1"/>
      <c r="B45" s="1"/>
      <c r="C45" s="1"/>
      <c r="D45" s="13"/>
      <c r="E45" s="6"/>
      <c r="F45" s="1"/>
      <c r="G45" s="6"/>
      <c r="H45" s="6"/>
    </row>
    <row r="46" spans="1:8">
      <c r="A46" s="1"/>
      <c r="B46" s="1"/>
      <c r="C46" s="1"/>
      <c r="D46" s="13"/>
      <c r="E46" s="6"/>
      <c r="F46" s="1"/>
      <c r="G46" s="6"/>
      <c r="H46" s="6"/>
    </row>
    <row r="47" spans="1:8">
      <c r="A47" s="1"/>
      <c r="B47" s="1"/>
      <c r="C47" s="1"/>
      <c r="D47" s="13"/>
      <c r="E47" s="6"/>
      <c r="F47" s="1"/>
      <c r="G47" s="6"/>
      <c r="H47" s="6"/>
    </row>
    <row r="48" spans="1:8">
      <c r="A48" s="1"/>
      <c r="B48" s="1"/>
      <c r="C48" s="1"/>
      <c r="D48" s="13"/>
      <c r="E48" s="6"/>
      <c r="F48" s="1"/>
      <c r="G48" s="6"/>
      <c r="H48" s="6"/>
    </row>
    <row r="49" spans="1:8">
      <c r="A49" s="1"/>
      <c r="B49" s="1"/>
      <c r="C49" s="1"/>
      <c r="D49" s="13"/>
      <c r="E49" s="6"/>
      <c r="F49" s="1"/>
      <c r="G49" s="6"/>
      <c r="H49" s="6"/>
    </row>
    <row r="50" spans="1:8">
      <c r="A50" s="1"/>
      <c r="B50" s="1"/>
      <c r="C50" s="1"/>
      <c r="D50" s="13"/>
      <c r="E50" s="6"/>
      <c r="F50" s="1"/>
      <c r="G50" s="6"/>
      <c r="H50" s="6"/>
    </row>
    <row r="51" spans="1:8">
      <c r="A51" s="1"/>
      <c r="B51" s="1"/>
      <c r="C51" s="1"/>
      <c r="D51" s="13"/>
      <c r="E51" s="6"/>
      <c r="F51" s="1"/>
      <c r="G51" s="6"/>
      <c r="H51" s="6"/>
    </row>
    <row r="52" spans="1:8">
      <c r="A52" s="1"/>
      <c r="B52" s="1"/>
      <c r="C52" s="1"/>
      <c r="D52" s="13"/>
      <c r="E52" s="6"/>
      <c r="F52" s="1"/>
      <c r="G52" s="6"/>
      <c r="H52" s="6"/>
    </row>
    <row r="53" spans="1:8">
      <c r="A53" s="1"/>
      <c r="B53" s="1"/>
      <c r="C53" s="1"/>
      <c r="D53" s="13"/>
      <c r="E53" s="6"/>
      <c r="F53" s="1"/>
      <c r="G53" s="6"/>
      <c r="H53" s="6"/>
    </row>
    <row r="54" spans="1:8">
      <c r="A54" s="1"/>
      <c r="B54" s="1"/>
      <c r="C54" s="1"/>
      <c r="D54" s="13"/>
      <c r="E54" s="6"/>
      <c r="F54" s="1"/>
      <c r="G54" s="6"/>
      <c r="H54" s="6"/>
    </row>
    <row r="55" spans="1:8">
      <c r="A55" s="1"/>
      <c r="B55" s="1"/>
      <c r="C55" s="1"/>
      <c r="D55" s="13"/>
      <c r="E55" s="6"/>
      <c r="F55" s="1"/>
      <c r="G55" s="6"/>
      <c r="H55" s="6"/>
    </row>
    <row r="56" spans="1:8">
      <c r="A56" s="1"/>
      <c r="B56" s="1"/>
      <c r="C56" s="1"/>
      <c r="D56" s="13"/>
      <c r="E56" s="6"/>
      <c r="F56" s="1"/>
      <c r="G56" s="6"/>
      <c r="H56" s="6"/>
    </row>
    <row r="57" spans="1:8">
      <c r="A57" s="1"/>
      <c r="B57" s="1"/>
      <c r="C57" s="1"/>
      <c r="D57" s="13"/>
      <c r="E57" s="6"/>
      <c r="F57" s="1"/>
      <c r="G57" s="6"/>
      <c r="H57" s="6"/>
    </row>
    <row r="58" spans="1:8">
      <c r="A58" s="1"/>
      <c r="B58" s="1"/>
      <c r="C58" s="1"/>
      <c r="D58" s="13"/>
      <c r="E58" s="6"/>
      <c r="F58" s="1"/>
      <c r="G58" s="6"/>
      <c r="H58" s="6"/>
    </row>
    <row r="59" spans="1:8">
      <c r="A59" s="1"/>
      <c r="B59" s="1"/>
      <c r="C59" s="1"/>
      <c r="D59" s="13"/>
      <c r="E59" s="6"/>
      <c r="F59" s="1"/>
      <c r="G59" s="6"/>
      <c r="H59" s="6"/>
    </row>
    <row r="60" spans="1:8">
      <c r="A60" s="1"/>
      <c r="B60" s="1"/>
      <c r="C60" s="1"/>
      <c r="D60" s="13"/>
      <c r="E60" s="6"/>
      <c r="F60" s="1"/>
      <c r="G60" s="6"/>
      <c r="H60" s="6"/>
    </row>
    <row r="61" spans="1:8">
      <c r="A61" s="1"/>
      <c r="B61" s="1"/>
      <c r="C61" s="1"/>
      <c r="D61" s="13"/>
      <c r="E61" s="6"/>
      <c r="F61" s="1"/>
      <c r="G61" s="6"/>
      <c r="H61" s="6"/>
    </row>
    <row r="62" spans="1:8">
      <c r="A62" s="1"/>
      <c r="B62" s="1"/>
      <c r="C62" s="1"/>
      <c r="D62" s="13"/>
      <c r="E62" s="6"/>
      <c r="F62" s="1"/>
      <c r="G62" s="6"/>
      <c r="H62" s="6"/>
    </row>
    <row r="63" spans="1:8">
      <c r="A63" s="1"/>
      <c r="B63" s="1"/>
      <c r="C63" s="1"/>
      <c r="D63" s="13"/>
      <c r="E63" s="6"/>
      <c r="F63" s="1"/>
      <c r="G63" s="6"/>
      <c r="H63" s="6"/>
    </row>
    <row r="64" spans="1:8">
      <c r="A64" s="1"/>
      <c r="B64" s="1"/>
      <c r="C64" s="1"/>
      <c r="D64" s="13"/>
      <c r="E64" s="6"/>
      <c r="F64" s="1"/>
      <c r="G64" s="6"/>
      <c r="H64" s="6"/>
    </row>
    <row r="65" spans="1:8">
      <c r="A65" s="1"/>
      <c r="B65" s="1"/>
      <c r="C65" s="1"/>
      <c r="D65" s="13"/>
      <c r="E65" s="6"/>
      <c r="F65" s="1"/>
      <c r="G65" s="6"/>
      <c r="H65" s="6"/>
    </row>
    <row r="66" spans="1:8">
      <c r="A66" s="1"/>
      <c r="B66" s="1"/>
      <c r="C66" s="1"/>
      <c r="D66" s="13"/>
      <c r="E66" s="6"/>
      <c r="F66" s="1"/>
      <c r="G66" s="6"/>
      <c r="H66" s="6"/>
    </row>
    <row r="67" spans="1:8">
      <c r="A67" s="1"/>
      <c r="B67" s="1"/>
      <c r="C67" s="1"/>
      <c r="D67" s="13"/>
      <c r="E67" s="6"/>
      <c r="F67" s="1"/>
      <c r="G67" s="6"/>
      <c r="H67" s="6"/>
    </row>
    <row r="68" spans="1:8">
      <c r="A68" s="1"/>
      <c r="B68" s="1"/>
      <c r="C68" s="1"/>
      <c r="D68" s="13"/>
      <c r="E68" s="6"/>
      <c r="F68" s="1"/>
      <c r="G68" s="6"/>
      <c r="H68" s="6"/>
    </row>
    <row r="69" spans="1:8">
      <c r="A69" s="1"/>
      <c r="B69" s="1"/>
      <c r="C69" s="1"/>
      <c r="D69" s="13"/>
      <c r="E69" s="6"/>
      <c r="F69" s="1"/>
      <c r="G69" s="6"/>
      <c r="H69" s="6"/>
    </row>
    <row r="70" spans="1:8">
      <c r="A70" s="1"/>
      <c r="B70" s="1"/>
      <c r="C70" s="1"/>
      <c r="D70" s="13"/>
      <c r="E70" s="6"/>
      <c r="F70" s="1"/>
      <c r="G70" s="6"/>
      <c r="H70" s="6"/>
    </row>
    <row r="71" spans="1:8">
      <c r="A71" s="1"/>
      <c r="B71" s="1"/>
      <c r="C71" s="1"/>
      <c r="D71" s="13"/>
      <c r="E71" s="6"/>
      <c r="F71" s="1"/>
      <c r="G71" s="6"/>
      <c r="H71" s="6"/>
    </row>
    <row r="72" spans="1:8">
      <c r="A72" s="1"/>
      <c r="B72" s="1"/>
      <c r="C72" s="1"/>
      <c r="D72" s="13"/>
      <c r="E72" s="6"/>
      <c r="F72" s="1"/>
      <c r="G72" s="6"/>
      <c r="H72" s="6"/>
    </row>
    <row r="73" spans="1:8">
      <c r="A73" s="1"/>
      <c r="B73" s="1"/>
      <c r="C73" s="1"/>
      <c r="D73" s="13"/>
      <c r="E73" s="6"/>
      <c r="F73" s="1"/>
      <c r="G73" s="6"/>
      <c r="H73" s="6"/>
    </row>
    <row r="74" spans="1:8">
      <c r="A74" s="1"/>
      <c r="B74" s="1"/>
      <c r="C74" s="1"/>
      <c r="D74" s="13"/>
      <c r="E74" s="6"/>
      <c r="F74" s="1"/>
      <c r="G74" s="6"/>
      <c r="H74" s="6"/>
    </row>
    <row r="75" spans="1:8">
      <c r="A75" s="1"/>
      <c r="B75" s="1"/>
      <c r="C75" s="1"/>
      <c r="D75" s="13"/>
      <c r="E75" s="6"/>
      <c r="F75" s="1"/>
      <c r="G75" s="6"/>
      <c r="H75" s="6"/>
    </row>
    <row r="76" spans="1:8">
      <c r="A76" s="1"/>
      <c r="B76" s="1"/>
      <c r="C76" s="1"/>
      <c r="D76" s="13"/>
      <c r="E76" s="6"/>
      <c r="F76" s="1"/>
      <c r="G76" s="6"/>
      <c r="H76" s="6"/>
    </row>
    <row r="77" spans="1:8">
      <c r="A77" s="1"/>
      <c r="B77" s="1"/>
      <c r="C77" s="1"/>
      <c r="D77" s="13"/>
      <c r="E77" s="6"/>
      <c r="F77" s="1"/>
      <c r="G77" s="6"/>
      <c r="H77" s="6"/>
    </row>
    <row r="78" spans="1:8">
      <c r="A78" s="1"/>
      <c r="B78" s="1"/>
      <c r="C78" s="1"/>
      <c r="D78" s="13"/>
      <c r="E78" s="6"/>
      <c r="F78" s="1"/>
      <c r="G78" s="6"/>
      <c r="H78" s="6"/>
    </row>
    <row r="79" spans="1:8">
      <c r="A79" s="1"/>
      <c r="B79" s="1"/>
      <c r="C79" s="1"/>
      <c r="D79" s="13"/>
      <c r="E79" s="6"/>
      <c r="F79" s="1"/>
      <c r="G79" s="6"/>
      <c r="H79" s="6"/>
    </row>
    <row r="80" spans="1:8">
      <c r="A80" s="1"/>
      <c r="B80" s="1"/>
      <c r="C80" s="1"/>
      <c r="D80" s="13"/>
      <c r="E80" s="6"/>
      <c r="F80" s="1"/>
      <c r="G80" s="6"/>
      <c r="H80" s="6"/>
    </row>
    <row r="81" spans="1:8">
      <c r="A81" s="1"/>
      <c r="B81" s="1"/>
      <c r="C81" s="1"/>
      <c r="D81" s="13"/>
      <c r="E81" s="6"/>
      <c r="F81" s="1"/>
      <c r="G81" s="6"/>
      <c r="H81" s="6"/>
    </row>
    <row r="82" spans="1:8">
      <c r="A82" s="1"/>
      <c r="B82" s="1"/>
      <c r="C82" s="1"/>
      <c r="D82" s="13"/>
      <c r="E82" s="6"/>
      <c r="F82" s="1"/>
      <c r="G82" s="6"/>
      <c r="H82" s="6"/>
    </row>
    <row r="83" spans="1:8">
      <c r="A83" s="1"/>
      <c r="B83" s="1"/>
      <c r="C83" s="1"/>
      <c r="D83" s="13"/>
      <c r="E83" s="6"/>
      <c r="F83" s="1"/>
      <c r="G83" s="6"/>
      <c r="H83" s="6"/>
    </row>
  </sheetData>
  <autoFilter ref="F3:F27"/>
  <mergeCells count="1">
    <mergeCell ref="A1:H2"/>
  </mergeCells>
  <conditionalFormatting sqref="F3:F1048576">
    <cfRule type="containsText" dxfId="6" priority="3" operator="containsText" text="ACC">
      <formula>NOT(ISERROR(SEARCH("ACC",F3)))</formula>
    </cfRule>
  </conditionalFormatting>
  <conditionalFormatting sqref="F1:F1048576">
    <cfRule type="containsText" dxfId="5" priority="2" operator="containsText" text="REJE">
      <formula>NOT(ISERROR(SEARCH("REJE",F1)))</formula>
    </cfRule>
    <cfRule type="containsText" dxfId="4" priority="1" operator="containsText" text="ACC">
      <formula>NOT(ISERROR(SEARCH("ACC",F1)))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3"/>
  <sheetViews>
    <sheetView workbookViewId="0">
      <selection activeCell="K6" sqref="K6"/>
    </sheetView>
  </sheetViews>
  <sheetFormatPr defaultRowHeight="15"/>
  <cols>
    <col min="1" max="1" width="15.7109375" style="43" customWidth="1"/>
    <col min="2" max="2" width="17.85546875" style="12" customWidth="1"/>
    <col min="3" max="3" width="19.140625" style="12" customWidth="1"/>
    <col min="4" max="4" width="16.140625" style="12" customWidth="1"/>
    <col min="5" max="5" width="14.5703125" style="12" customWidth="1"/>
    <col min="6" max="6" width="14.7109375" style="12" customWidth="1"/>
    <col min="7" max="7" width="14.42578125" style="12" customWidth="1"/>
    <col min="8" max="8" width="14" style="12" customWidth="1"/>
    <col min="9" max="16384" width="9.140625" style="12"/>
  </cols>
  <sheetData>
    <row r="1" spans="1:8" s="38" customFormat="1">
      <c r="A1" s="99" t="s">
        <v>288</v>
      </c>
      <c r="B1" s="100"/>
      <c r="C1" s="100"/>
      <c r="D1" s="100"/>
      <c r="E1" s="100"/>
      <c r="F1" s="100"/>
      <c r="G1" s="100"/>
      <c r="H1" s="101"/>
    </row>
    <row r="2" spans="1:8">
      <c r="A2" s="105"/>
      <c r="B2" s="106"/>
      <c r="C2" s="106"/>
      <c r="D2" s="106"/>
      <c r="E2" s="106"/>
      <c r="F2" s="106"/>
      <c r="G2" s="106"/>
      <c r="H2" s="107"/>
    </row>
    <row r="3" spans="1:8" s="39" customFormat="1" ht="30">
      <c r="A3" s="45" t="s">
        <v>289</v>
      </c>
      <c r="B3" s="44" t="s">
        <v>67</v>
      </c>
      <c r="C3" s="44" t="s">
        <v>261</v>
      </c>
      <c r="D3" s="44" t="s">
        <v>290</v>
      </c>
      <c r="E3" s="44" t="s">
        <v>291</v>
      </c>
      <c r="F3" s="44" t="s">
        <v>292</v>
      </c>
      <c r="G3" s="44" t="s">
        <v>293</v>
      </c>
      <c r="H3" s="46" t="s">
        <v>294</v>
      </c>
    </row>
    <row r="4" spans="1:8">
      <c r="A4" s="40" t="s">
        <v>169</v>
      </c>
      <c r="B4" s="37" t="s">
        <v>170</v>
      </c>
      <c r="C4" s="37" t="s">
        <v>1</v>
      </c>
      <c r="D4" s="42">
        <v>46206</v>
      </c>
      <c r="E4" s="41" t="s">
        <v>299</v>
      </c>
      <c r="F4" s="41" t="s">
        <v>296</v>
      </c>
      <c r="G4" s="41" t="s">
        <v>272</v>
      </c>
      <c r="H4" s="47" t="s">
        <v>301</v>
      </c>
    </row>
    <row r="5" spans="1:8">
      <c r="A5" s="40" t="s">
        <v>170</v>
      </c>
      <c r="B5" s="37" t="s">
        <v>175</v>
      </c>
      <c r="C5" s="37" t="s">
        <v>6</v>
      </c>
      <c r="D5" s="42">
        <v>46206</v>
      </c>
      <c r="E5" s="41" t="s">
        <v>299</v>
      </c>
      <c r="F5" s="41" t="s">
        <v>296</v>
      </c>
      <c r="G5" s="41" t="s">
        <v>272</v>
      </c>
      <c r="H5" s="47" t="s">
        <v>301</v>
      </c>
    </row>
    <row r="6" spans="1:8">
      <c r="A6" s="40" t="s">
        <v>171</v>
      </c>
      <c r="B6" s="37" t="s">
        <v>176</v>
      </c>
      <c r="C6" s="37" t="s">
        <v>7</v>
      </c>
      <c r="D6" s="42">
        <v>46206</v>
      </c>
      <c r="E6" s="41" t="s">
        <v>295</v>
      </c>
      <c r="F6" s="41" t="s">
        <v>296</v>
      </c>
      <c r="G6" s="41" t="s">
        <v>272</v>
      </c>
      <c r="H6" s="48" t="s">
        <v>302</v>
      </c>
    </row>
    <row r="7" spans="1:8">
      <c r="A7" s="40" t="s">
        <v>172</v>
      </c>
      <c r="B7" s="37" t="s">
        <v>181</v>
      </c>
      <c r="C7" s="37" t="s">
        <v>12</v>
      </c>
      <c r="D7" s="42">
        <v>46206</v>
      </c>
      <c r="E7" s="41" t="s">
        <v>299</v>
      </c>
      <c r="F7" s="41" t="s">
        <v>296</v>
      </c>
      <c r="G7" s="41" t="s">
        <v>272</v>
      </c>
      <c r="H7" s="47" t="s">
        <v>301</v>
      </c>
    </row>
    <row r="8" spans="1:8">
      <c r="A8" s="40" t="s">
        <v>173</v>
      </c>
      <c r="B8" s="37" t="s">
        <v>182</v>
      </c>
      <c r="C8" s="37" t="s">
        <v>13</v>
      </c>
      <c r="D8" s="42">
        <v>46206</v>
      </c>
      <c r="E8" s="41" t="s">
        <v>299</v>
      </c>
      <c r="F8" s="41" t="s">
        <v>296</v>
      </c>
      <c r="G8" s="41" t="s">
        <v>272</v>
      </c>
      <c r="H8" s="47" t="s">
        <v>301</v>
      </c>
    </row>
    <row r="9" spans="1:8">
      <c r="A9" s="40" t="s">
        <v>174</v>
      </c>
      <c r="B9" s="37" t="s">
        <v>184</v>
      </c>
      <c r="C9" s="37" t="s">
        <v>15</v>
      </c>
      <c r="D9" s="42">
        <v>46206</v>
      </c>
      <c r="E9" s="41" t="s">
        <v>299</v>
      </c>
      <c r="F9" s="41" t="s">
        <v>296</v>
      </c>
      <c r="G9" s="41" t="s">
        <v>272</v>
      </c>
      <c r="H9" s="47" t="s">
        <v>301</v>
      </c>
    </row>
    <row r="10" spans="1:8">
      <c r="A10" s="40" t="s">
        <v>175</v>
      </c>
      <c r="B10" s="37" t="s">
        <v>188</v>
      </c>
      <c r="C10" s="37" t="s">
        <v>19</v>
      </c>
      <c r="D10" s="42">
        <v>46206</v>
      </c>
      <c r="E10" s="41" t="s">
        <v>299</v>
      </c>
      <c r="F10" s="41" t="s">
        <v>296</v>
      </c>
      <c r="G10" s="41" t="s">
        <v>272</v>
      </c>
      <c r="H10" s="47" t="s">
        <v>301</v>
      </c>
    </row>
    <row r="11" spans="1:8">
      <c r="A11" s="40" t="s">
        <v>176</v>
      </c>
      <c r="B11" s="37" t="s">
        <v>189</v>
      </c>
      <c r="C11" s="37" t="s">
        <v>18</v>
      </c>
      <c r="D11" s="42">
        <v>46206</v>
      </c>
      <c r="E11" s="41" t="s">
        <v>299</v>
      </c>
      <c r="F11" s="41" t="s">
        <v>296</v>
      </c>
      <c r="G11" s="41" t="s">
        <v>272</v>
      </c>
      <c r="H11" s="47" t="s">
        <v>301</v>
      </c>
    </row>
    <row r="12" spans="1:8">
      <c r="A12" s="40" t="s">
        <v>177</v>
      </c>
      <c r="B12" s="37" t="s">
        <v>197</v>
      </c>
      <c r="C12" s="37" t="s">
        <v>25</v>
      </c>
      <c r="D12" s="42">
        <v>46206</v>
      </c>
      <c r="E12" s="41" t="s">
        <v>299</v>
      </c>
      <c r="F12" s="41" t="s">
        <v>296</v>
      </c>
      <c r="G12" s="41" t="s">
        <v>298</v>
      </c>
      <c r="H12" s="48" t="s">
        <v>302</v>
      </c>
    </row>
    <row r="13" spans="1:8">
      <c r="A13" s="40" t="s">
        <v>178</v>
      </c>
      <c r="B13" s="37" t="s">
        <v>196</v>
      </c>
      <c r="C13" s="37" t="s">
        <v>29</v>
      </c>
      <c r="D13" s="42">
        <v>46206</v>
      </c>
      <c r="E13" s="41" t="s">
        <v>299</v>
      </c>
      <c r="F13" s="41" t="s">
        <v>296</v>
      </c>
      <c r="G13" s="41" t="s">
        <v>272</v>
      </c>
      <c r="H13" s="47" t="s">
        <v>301</v>
      </c>
    </row>
    <row r="14" spans="1:8">
      <c r="A14" s="40" t="s">
        <v>179</v>
      </c>
      <c r="B14" s="37" t="s">
        <v>202</v>
      </c>
      <c r="C14" s="37" t="s">
        <v>22</v>
      </c>
      <c r="D14" s="42">
        <v>46206</v>
      </c>
      <c r="E14" s="41" t="s">
        <v>299</v>
      </c>
      <c r="F14" s="41" t="s">
        <v>296</v>
      </c>
      <c r="G14" s="41" t="s">
        <v>272</v>
      </c>
      <c r="H14" s="47" t="s">
        <v>301</v>
      </c>
    </row>
    <row r="15" spans="1:8">
      <c r="A15" s="40" t="s">
        <v>180</v>
      </c>
      <c r="B15" s="37" t="s">
        <v>205</v>
      </c>
      <c r="C15" s="37" t="s">
        <v>36</v>
      </c>
      <c r="D15" s="42">
        <v>46206</v>
      </c>
      <c r="E15" s="41" t="s">
        <v>299</v>
      </c>
      <c r="F15" s="41" t="s">
        <v>296</v>
      </c>
      <c r="G15" s="41" t="s">
        <v>272</v>
      </c>
      <c r="H15" s="47" t="s">
        <v>301</v>
      </c>
    </row>
    <row r="16" spans="1:8">
      <c r="A16" s="40" t="s">
        <v>181</v>
      </c>
      <c r="B16" s="37" t="s">
        <v>172</v>
      </c>
      <c r="C16" s="37" t="s">
        <v>43</v>
      </c>
      <c r="D16" s="42">
        <v>46206</v>
      </c>
      <c r="E16" s="41" t="s">
        <v>299</v>
      </c>
      <c r="F16" s="41" t="s">
        <v>296</v>
      </c>
      <c r="G16" s="41" t="s">
        <v>272</v>
      </c>
      <c r="H16" s="47" t="s">
        <v>301</v>
      </c>
    </row>
    <row r="17" spans="1:8">
      <c r="A17" s="40" t="s">
        <v>182</v>
      </c>
      <c r="B17" s="37" t="s">
        <v>173</v>
      </c>
      <c r="C17" s="37" t="s">
        <v>44</v>
      </c>
      <c r="D17" s="42">
        <v>46206</v>
      </c>
      <c r="E17" s="41" t="s">
        <v>299</v>
      </c>
      <c r="F17" s="41" t="s">
        <v>296</v>
      </c>
      <c r="G17" s="41" t="s">
        <v>272</v>
      </c>
      <c r="H17" s="47" t="s">
        <v>301</v>
      </c>
    </row>
    <row r="18" spans="1:8">
      <c r="A18" s="40" t="s">
        <v>178</v>
      </c>
      <c r="B18" s="37" t="s">
        <v>175</v>
      </c>
      <c r="C18" s="37" t="s">
        <v>46</v>
      </c>
      <c r="D18" s="42">
        <v>46206</v>
      </c>
      <c r="E18" s="41" t="s">
        <v>299</v>
      </c>
      <c r="F18" s="41" t="s">
        <v>296</v>
      </c>
      <c r="G18" s="41" t="s">
        <v>272</v>
      </c>
      <c r="H18" s="47" t="s">
        <v>301</v>
      </c>
    </row>
    <row r="19" spans="1:8">
      <c r="A19" s="40" t="s">
        <v>183</v>
      </c>
      <c r="B19" s="37" t="s">
        <v>177</v>
      </c>
      <c r="C19" s="37" t="s">
        <v>48</v>
      </c>
      <c r="D19" s="42">
        <v>46206</v>
      </c>
      <c r="E19" s="41" t="s">
        <v>295</v>
      </c>
      <c r="F19" s="41" t="s">
        <v>297</v>
      </c>
      <c r="G19" s="41" t="s">
        <v>298</v>
      </c>
      <c r="H19" s="47" t="s">
        <v>300</v>
      </c>
    </row>
    <row r="20" spans="1:8">
      <c r="A20" s="40" t="s">
        <v>184</v>
      </c>
      <c r="B20" s="37" t="s">
        <v>214</v>
      </c>
      <c r="C20" s="37" t="s">
        <v>49</v>
      </c>
      <c r="D20" s="42">
        <v>46206</v>
      </c>
      <c r="E20" s="41" t="s">
        <v>299</v>
      </c>
      <c r="F20" s="41" t="s">
        <v>296</v>
      </c>
      <c r="G20" s="41" t="s">
        <v>272</v>
      </c>
      <c r="H20" s="49" t="s">
        <v>301</v>
      </c>
    </row>
    <row r="21" spans="1:8">
      <c r="A21" s="40" t="s">
        <v>185</v>
      </c>
      <c r="B21" s="37" t="s">
        <v>215</v>
      </c>
      <c r="C21" s="37" t="s">
        <v>50</v>
      </c>
      <c r="D21" s="42">
        <v>46206</v>
      </c>
      <c r="E21" s="41" t="s">
        <v>299</v>
      </c>
      <c r="F21" s="41" t="s">
        <v>296</v>
      </c>
      <c r="G21" s="41" t="s">
        <v>272</v>
      </c>
      <c r="H21" s="47" t="s">
        <v>301</v>
      </c>
    </row>
    <row r="22" spans="1:8">
      <c r="A22" s="40" t="s">
        <v>186</v>
      </c>
      <c r="B22" s="37" t="s">
        <v>216</v>
      </c>
      <c r="C22" s="37" t="s">
        <v>51</v>
      </c>
      <c r="D22" s="42">
        <v>46206</v>
      </c>
      <c r="E22" s="41" t="s">
        <v>299</v>
      </c>
      <c r="F22" s="41" t="s">
        <v>296</v>
      </c>
      <c r="G22" s="41" t="s">
        <v>272</v>
      </c>
      <c r="H22" s="47" t="s">
        <v>301</v>
      </c>
    </row>
    <row r="23" spans="1:8">
      <c r="A23" s="40" t="s">
        <v>312</v>
      </c>
      <c r="B23" s="37" t="s">
        <v>223</v>
      </c>
      <c r="C23" s="37" t="s">
        <v>59</v>
      </c>
      <c r="D23" s="42">
        <v>46206</v>
      </c>
      <c r="E23" s="41" t="s">
        <v>299</v>
      </c>
      <c r="F23" s="41" t="s">
        <v>296</v>
      </c>
      <c r="G23" s="41" t="s">
        <v>272</v>
      </c>
      <c r="H23" s="47" t="s">
        <v>301</v>
      </c>
    </row>
    <row r="24" spans="1:8">
      <c r="A24" s="40" t="s">
        <v>188</v>
      </c>
      <c r="B24" s="37" t="s">
        <v>223</v>
      </c>
      <c r="C24" s="37" t="s">
        <v>64</v>
      </c>
      <c r="D24" s="42">
        <v>46206</v>
      </c>
      <c r="E24" s="41" t="s">
        <v>299</v>
      </c>
      <c r="F24" s="41" t="s">
        <v>296</v>
      </c>
      <c r="G24" s="41" t="s">
        <v>272</v>
      </c>
      <c r="H24" s="47" t="s">
        <v>301</v>
      </c>
    </row>
    <row r="25" spans="1:8">
      <c r="A25" s="50" t="s">
        <v>189</v>
      </c>
      <c r="B25" s="51" t="s">
        <v>231</v>
      </c>
      <c r="C25" s="51" t="s">
        <v>12</v>
      </c>
      <c r="D25" s="52">
        <v>46206</v>
      </c>
      <c r="E25" s="53" t="s">
        <v>299</v>
      </c>
      <c r="F25" s="53" t="s">
        <v>296</v>
      </c>
      <c r="G25" s="53" t="s">
        <v>272</v>
      </c>
      <c r="H25" s="54" t="s">
        <v>301</v>
      </c>
    </row>
    <row r="26" spans="1:8">
      <c r="A26" s="40"/>
      <c r="B26" s="41"/>
      <c r="C26" s="41"/>
      <c r="D26" s="42"/>
      <c r="E26" s="41"/>
      <c r="F26" s="41"/>
      <c r="G26" s="41"/>
      <c r="H26" s="41"/>
    </row>
    <row r="27" spans="1:8">
      <c r="A27" s="40"/>
      <c r="B27" s="41"/>
      <c r="C27" s="41"/>
      <c r="D27" s="42"/>
      <c r="E27" s="41"/>
      <c r="F27" s="41"/>
      <c r="G27" s="41"/>
      <c r="H27" s="41"/>
    </row>
    <row r="28" spans="1:8">
      <c r="A28" s="40"/>
      <c r="B28" s="41"/>
      <c r="C28" s="41"/>
      <c r="D28" s="42"/>
      <c r="E28" s="41"/>
      <c r="F28" s="41"/>
      <c r="G28" s="41"/>
      <c r="H28" s="41"/>
    </row>
    <row r="29" spans="1:8">
      <c r="A29" s="40"/>
      <c r="B29" s="41"/>
      <c r="C29" s="41"/>
      <c r="D29" s="42"/>
      <c r="E29" s="41"/>
      <c r="F29" s="41"/>
      <c r="G29" s="41"/>
      <c r="H29" s="41"/>
    </row>
    <row r="30" spans="1:8">
      <c r="A30" s="40"/>
      <c r="B30" s="41"/>
      <c r="C30" s="41"/>
      <c r="D30" s="42"/>
      <c r="E30" s="41"/>
      <c r="F30" s="41"/>
      <c r="G30" s="41"/>
      <c r="H30" s="41"/>
    </row>
    <row r="31" spans="1:8">
      <c r="A31" s="40"/>
      <c r="B31" s="41"/>
      <c r="C31" s="41"/>
      <c r="D31" s="42"/>
      <c r="E31" s="41"/>
      <c r="F31" s="41"/>
      <c r="G31" s="41"/>
      <c r="H31" s="41"/>
    </row>
    <row r="32" spans="1:8">
      <c r="A32" s="40"/>
      <c r="B32" s="41"/>
      <c r="C32" s="41"/>
      <c r="D32" s="42"/>
      <c r="E32" s="41"/>
      <c r="F32" s="41"/>
      <c r="G32" s="41"/>
      <c r="H32" s="41"/>
    </row>
    <row r="33" spans="1:8">
      <c r="A33" s="40"/>
      <c r="B33" s="41"/>
      <c r="C33" s="41"/>
      <c r="D33" s="42"/>
      <c r="E33" s="41"/>
      <c r="F33" s="41"/>
      <c r="G33" s="41"/>
      <c r="H33" s="41"/>
    </row>
    <row r="34" spans="1:8">
      <c r="A34" s="40"/>
      <c r="B34" s="41"/>
      <c r="C34" s="41"/>
      <c r="D34" s="42"/>
      <c r="E34" s="41"/>
      <c r="F34" s="41"/>
      <c r="G34" s="41"/>
      <c r="H34" s="41"/>
    </row>
    <row r="35" spans="1:8">
      <c r="A35" s="40"/>
      <c r="B35" s="41"/>
      <c r="C35" s="41"/>
      <c r="D35" s="42"/>
      <c r="E35" s="41"/>
      <c r="F35" s="41"/>
      <c r="G35" s="41"/>
      <c r="H35" s="41"/>
    </row>
    <row r="36" spans="1:8">
      <c r="A36" s="40"/>
      <c r="B36" s="41"/>
      <c r="C36" s="41"/>
      <c r="D36" s="42"/>
      <c r="E36" s="41"/>
      <c r="F36" s="41"/>
      <c r="G36" s="41"/>
      <c r="H36" s="41"/>
    </row>
    <row r="37" spans="1:8">
      <c r="A37" s="40"/>
      <c r="B37" s="41"/>
      <c r="C37" s="41"/>
      <c r="D37" s="42"/>
      <c r="E37" s="41"/>
      <c r="F37" s="41"/>
      <c r="G37" s="41"/>
      <c r="H37" s="41"/>
    </row>
    <row r="38" spans="1:8">
      <c r="A38" s="40"/>
      <c r="B38" s="41"/>
      <c r="C38" s="41"/>
      <c r="D38" s="42"/>
      <c r="E38" s="41"/>
      <c r="F38" s="41"/>
      <c r="G38" s="41"/>
      <c r="H38" s="41"/>
    </row>
    <row r="39" spans="1:8">
      <c r="A39" s="40"/>
      <c r="B39" s="41"/>
      <c r="C39" s="41"/>
      <c r="D39" s="42"/>
      <c r="E39" s="41"/>
      <c r="F39" s="41"/>
      <c r="G39" s="41"/>
      <c r="H39" s="41"/>
    </row>
    <row r="40" spans="1:8">
      <c r="A40" s="40"/>
      <c r="B40" s="41"/>
      <c r="C40" s="41"/>
      <c r="D40" s="42"/>
      <c r="E40" s="41"/>
      <c r="F40" s="41"/>
      <c r="G40" s="41"/>
      <c r="H40" s="41"/>
    </row>
    <row r="41" spans="1:8">
      <c r="A41" s="40"/>
      <c r="B41" s="41"/>
      <c r="C41" s="41"/>
      <c r="D41" s="42"/>
      <c r="E41" s="41"/>
      <c r="F41" s="41"/>
      <c r="G41" s="41"/>
      <c r="H41" s="41"/>
    </row>
    <row r="42" spans="1:8">
      <c r="A42" s="40"/>
      <c r="B42" s="41"/>
      <c r="C42" s="41"/>
      <c r="D42" s="42"/>
      <c r="E42" s="41"/>
      <c r="F42" s="41"/>
      <c r="G42" s="41"/>
      <c r="H42" s="41"/>
    </row>
    <row r="43" spans="1:8">
      <c r="A43" s="40"/>
      <c r="B43" s="41"/>
      <c r="C43" s="41"/>
      <c r="D43" s="42"/>
      <c r="E43" s="41"/>
      <c r="F43" s="41"/>
      <c r="G43" s="41"/>
      <c r="H43" s="41"/>
    </row>
    <row r="44" spans="1:8">
      <c r="A44" s="40"/>
      <c r="B44" s="41"/>
      <c r="C44" s="41"/>
      <c r="D44" s="42"/>
      <c r="E44" s="41"/>
      <c r="F44" s="41"/>
      <c r="G44" s="41"/>
      <c r="H44" s="41"/>
    </row>
    <row r="45" spans="1:8">
      <c r="A45" s="40"/>
      <c r="B45" s="41"/>
      <c r="C45" s="41"/>
      <c r="D45" s="42"/>
      <c r="E45" s="41"/>
      <c r="F45" s="41"/>
      <c r="G45" s="41"/>
      <c r="H45" s="41"/>
    </row>
    <row r="46" spans="1:8">
      <c r="A46" s="40"/>
      <c r="B46" s="41"/>
      <c r="C46" s="41"/>
      <c r="D46" s="42"/>
      <c r="E46" s="41"/>
      <c r="F46" s="41"/>
      <c r="G46" s="41"/>
      <c r="H46" s="41"/>
    </row>
    <row r="47" spans="1:8">
      <c r="A47" s="40"/>
      <c r="B47" s="41"/>
      <c r="C47" s="41"/>
      <c r="D47" s="42"/>
      <c r="E47" s="41"/>
      <c r="F47" s="41"/>
      <c r="G47" s="41"/>
      <c r="H47" s="41"/>
    </row>
    <row r="48" spans="1:8">
      <c r="A48" s="40"/>
      <c r="B48" s="41"/>
      <c r="C48" s="41"/>
      <c r="D48" s="42"/>
      <c r="E48" s="41"/>
      <c r="F48" s="41"/>
      <c r="G48" s="41"/>
      <c r="H48" s="41"/>
    </row>
    <row r="49" spans="1:8">
      <c r="A49" s="40"/>
      <c r="B49" s="41"/>
      <c r="C49" s="41"/>
      <c r="D49" s="42"/>
      <c r="E49" s="41"/>
      <c r="F49" s="41"/>
      <c r="G49" s="41"/>
      <c r="H49" s="41"/>
    </row>
    <row r="50" spans="1:8">
      <c r="A50" s="40"/>
      <c r="B50" s="41"/>
      <c r="C50" s="41"/>
      <c r="D50" s="42"/>
      <c r="E50" s="41"/>
      <c r="F50" s="41"/>
      <c r="G50" s="41"/>
      <c r="H50" s="41"/>
    </row>
    <row r="51" spans="1:8">
      <c r="A51" s="40"/>
      <c r="B51" s="41"/>
      <c r="C51" s="41"/>
      <c r="D51" s="42"/>
      <c r="E51" s="41"/>
      <c r="F51" s="41"/>
      <c r="G51" s="41"/>
      <c r="H51" s="41"/>
    </row>
    <row r="52" spans="1:8">
      <c r="A52" s="40"/>
      <c r="B52" s="41"/>
      <c r="C52" s="41"/>
      <c r="D52" s="42"/>
      <c r="E52" s="41"/>
      <c r="F52" s="41"/>
      <c r="G52" s="41"/>
      <c r="H52" s="41"/>
    </row>
    <row r="53" spans="1:8">
      <c r="A53" s="40"/>
      <c r="B53" s="41"/>
      <c r="C53" s="41"/>
      <c r="D53" s="42"/>
      <c r="E53" s="41"/>
      <c r="F53" s="41"/>
      <c r="G53" s="41"/>
      <c r="H53" s="41"/>
    </row>
    <row r="54" spans="1:8">
      <c r="A54" s="40"/>
      <c r="B54" s="41"/>
      <c r="C54" s="41"/>
      <c r="D54" s="42"/>
      <c r="E54" s="41"/>
      <c r="F54" s="41"/>
      <c r="G54" s="41"/>
      <c r="H54" s="41"/>
    </row>
    <row r="55" spans="1:8">
      <c r="A55" s="40"/>
      <c r="B55" s="41"/>
      <c r="C55" s="41"/>
      <c r="D55" s="42"/>
      <c r="E55" s="41"/>
      <c r="F55" s="41"/>
      <c r="G55" s="41"/>
      <c r="H55" s="41"/>
    </row>
    <row r="56" spans="1:8">
      <c r="A56" s="40"/>
      <c r="B56" s="41"/>
      <c r="C56" s="41"/>
      <c r="D56" s="42"/>
      <c r="E56" s="41"/>
      <c r="F56" s="41"/>
      <c r="G56" s="41"/>
      <c r="H56" s="41"/>
    </row>
    <row r="57" spans="1:8">
      <c r="A57" s="40"/>
      <c r="B57" s="41"/>
      <c r="C57" s="41"/>
      <c r="D57" s="42"/>
      <c r="E57" s="41"/>
      <c r="F57" s="41"/>
      <c r="G57" s="41"/>
      <c r="H57" s="41"/>
    </row>
    <row r="58" spans="1:8">
      <c r="A58" s="40"/>
      <c r="B58" s="41"/>
      <c r="C58" s="41"/>
      <c r="D58" s="42"/>
      <c r="E58" s="41"/>
      <c r="F58" s="41"/>
      <c r="G58" s="41"/>
      <c r="H58" s="41"/>
    </row>
    <row r="59" spans="1:8">
      <c r="A59" s="40"/>
      <c r="B59" s="41"/>
      <c r="C59" s="41"/>
      <c r="D59" s="42"/>
      <c r="E59" s="41"/>
      <c r="F59" s="41"/>
      <c r="G59" s="41"/>
      <c r="H59" s="41"/>
    </row>
    <row r="60" spans="1:8">
      <c r="A60" s="40"/>
      <c r="B60" s="41"/>
      <c r="C60" s="41"/>
      <c r="D60" s="42"/>
      <c r="E60" s="41"/>
      <c r="F60" s="41"/>
      <c r="G60" s="41"/>
      <c r="H60" s="41"/>
    </row>
    <row r="61" spans="1:8">
      <c r="A61" s="40"/>
      <c r="B61" s="41"/>
      <c r="C61" s="41"/>
      <c r="D61" s="42"/>
      <c r="E61" s="41"/>
      <c r="F61" s="41"/>
      <c r="G61" s="41"/>
      <c r="H61" s="41"/>
    </row>
    <row r="62" spans="1:8">
      <c r="A62" s="40"/>
      <c r="B62" s="41"/>
      <c r="C62" s="41"/>
      <c r="D62" s="42"/>
      <c r="E62" s="41"/>
      <c r="F62" s="41"/>
      <c r="G62" s="41"/>
      <c r="H62" s="41"/>
    </row>
    <row r="63" spans="1:8">
      <c r="A63" s="40"/>
      <c r="B63" s="41"/>
      <c r="C63" s="41"/>
      <c r="D63" s="42"/>
      <c r="E63" s="41"/>
      <c r="F63" s="41"/>
      <c r="G63" s="41"/>
      <c r="H63" s="41"/>
    </row>
    <row r="64" spans="1:8">
      <c r="A64" s="40"/>
      <c r="B64" s="41"/>
      <c r="C64" s="41"/>
      <c r="D64" s="42"/>
      <c r="E64" s="41"/>
      <c r="F64" s="41"/>
      <c r="G64" s="41"/>
      <c r="H64" s="41"/>
    </row>
    <row r="65" spans="1:8">
      <c r="A65" s="40"/>
      <c r="B65" s="41"/>
      <c r="C65" s="41"/>
      <c r="D65" s="42"/>
      <c r="E65" s="41"/>
      <c r="F65" s="41"/>
      <c r="G65" s="41"/>
      <c r="H65" s="41"/>
    </row>
    <row r="66" spans="1:8">
      <c r="A66" s="40"/>
      <c r="B66" s="41"/>
      <c r="C66" s="41"/>
      <c r="D66" s="42"/>
      <c r="E66" s="41"/>
      <c r="F66" s="41"/>
      <c r="G66" s="41"/>
      <c r="H66" s="41"/>
    </row>
    <row r="67" spans="1:8">
      <c r="A67" s="40"/>
      <c r="B67" s="41"/>
      <c r="C67" s="41"/>
      <c r="D67" s="42"/>
      <c r="E67" s="41"/>
      <c r="F67" s="41"/>
      <c r="G67" s="41"/>
      <c r="H67" s="41"/>
    </row>
    <row r="68" spans="1:8">
      <c r="A68" s="40"/>
      <c r="B68" s="41"/>
      <c r="C68" s="41"/>
      <c r="D68" s="42"/>
      <c r="E68" s="41"/>
      <c r="F68" s="41"/>
      <c r="G68" s="41"/>
      <c r="H68" s="41"/>
    </row>
    <row r="69" spans="1:8">
      <c r="A69" s="40"/>
      <c r="B69" s="41"/>
      <c r="C69" s="41"/>
      <c r="D69" s="42"/>
      <c r="E69" s="41"/>
      <c r="F69" s="41"/>
      <c r="G69" s="41"/>
      <c r="H69" s="41"/>
    </row>
    <row r="70" spans="1:8">
      <c r="A70" s="40"/>
      <c r="B70" s="41"/>
      <c r="C70" s="41"/>
      <c r="D70" s="42"/>
      <c r="E70" s="41"/>
      <c r="F70" s="41"/>
      <c r="G70" s="41"/>
      <c r="H70" s="41"/>
    </row>
    <row r="71" spans="1:8">
      <c r="A71" s="40"/>
      <c r="B71" s="41"/>
      <c r="C71" s="41"/>
      <c r="D71" s="42"/>
      <c r="E71" s="41"/>
      <c r="F71" s="41"/>
      <c r="G71" s="41"/>
      <c r="H71" s="41"/>
    </row>
    <row r="72" spans="1:8">
      <c r="A72" s="40"/>
      <c r="B72" s="41"/>
      <c r="C72" s="41"/>
      <c r="D72" s="42"/>
      <c r="E72" s="41"/>
      <c r="F72" s="41"/>
      <c r="G72" s="41"/>
      <c r="H72" s="41"/>
    </row>
    <row r="73" spans="1:8">
      <c r="A73" s="40"/>
      <c r="B73" s="41"/>
      <c r="C73" s="41"/>
      <c r="D73" s="42"/>
      <c r="E73" s="41"/>
      <c r="F73" s="41"/>
      <c r="G73" s="41"/>
      <c r="H73" s="41"/>
    </row>
    <row r="74" spans="1:8">
      <c r="A74" s="40"/>
      <c r="B74" s="41"/>
      <c r="C74" s="41"/>
      <c r="D74" s="42"/>
      <c r="E74" s="41"/>
      <c r="F74" s="41"/>
      <c r="G74" s="41"/>
      <c r="H74" s="41"/>
    </row>
    <row r="75" spans="1:8">
      <c r="A75" s="40"/>
      <c r="B75" s="41"/>
      <c r="C75" s="41"/>
      <c r="D75" s="42"/>
      <c r="E75" s="41"/>
      <c r="F75" s="41"/>
      <c r="G75" s="41"/>
      <c r="H75" s="41"/>
    </row>
    <row r="76" spans="1:8">
      <c r="A76" s="40"/>
      <c r="B76" s="41"/>
      <c r="C76" s="41"/>
      <c r="D76" s="42"/>
      <c r="E76" s="41"/>
      <c r="F76" s="41"/>
      <c r="G76" s="41"/>
      <c r="H76" s="41"/>
    </row>
    <row r="77" spans="1:8">
      <c r="A77" s="40"/>
      <c r="B77" s="41"/>
      <c r="C77" s="41"/>
      <c r="D77" s="42"/>
      <c r="E77" s="41"/>
      <c r="F77" s="41"/>
      <c r="G77" s="41"/>
      <c r="H77" s="41"/>
    </row>
    <row r="78" spans="1:8">
      <c r="A78" s="40"/>
      <c r="B78" s="41"/>
      <c r="C78" s="41"/>
      <c r="D78" s="42"/>
      <c r="E78" s="41"/>
      <c r="F78" s="41"/>
      <c r="G78" s="41"/>
      <c r="H78" s="41"/>
    </row>
    <row r="79" spans="1:8">
      <c r="A79" s="40"/>
      <c r="B79" s="41"/>
      <c r="C79" s="41"/>
      <c r="D79" s="42"/>
      <c r="E79" s="41"/>
      <c r="F79" s="41"/>
      <c r="G79" s="41"/>
      <c r="H79" s="41"/>
    </row>
    <row r="80" spans="1:8">
      <c r="A80" s="40"/>
      <c r="B80" s="41"/>
      <c r="C80" s="41"/>
      <c r="D80" s="42"/>
      <c r="E80" s="41"/>
      <c r="F80" s="41"/>
      <c r="G80" s="41"/>
      <c r="H80" s="41"/>
    </row>
    <row r="81" spans="1:8">
      <c r="A81" s="40"/>
      <c r="B81" s="41"/>
      <c r="C81" s="41"/>
      <c r="D81" s="42"/>
      <c r="E81" s="41"/>
      <c r="F81" s="41"/>
      <c r="G81" s="41"/>
      <c r="H81" s="41"/>
    </row>
    <row r="82" spans="1:8">
      <c r="A82" s="40"/>
      <c r="B82" s="41"/>
      <c r="C82" s="41"/>
      <c r="D82" s="42"/>
      <c r="E82" s="41"/>
      <c r="F82" s="41"/>
      <c r="G82" s="41"/>
      <c r="H82" s="41"/>
    </row>
    <row r="83" spans="1:8">
      <c r="A83" s="40"/>
      <c r="B83" s="41"/>
      <c r="C83" s="41"/>
      <c r="D83" s="42"/>
      <c r="E83" s="41"/>
      <c r="F83" s="41"/>
      <c r="G83" s="41"/>
      <c r="H83" s="41"/>
    </row>
  </sheetData>
  <mergeCells count="1">
    <mergeCell ref="A1:H2"/>
  </mergeCells>
  <conditionalFormatting sqref="E1:E1048576">
    <cfRule type="containsText" dxfId="3" priority="4" operator="containsText" text="NO">
      <formula>NOT(ISERROR(SEARCH("NO",E1)))</formula>
    </cfRule>
  </conditionalFormatting>
  <conditionalFormatting sqref="F1:F1048576">
    <cfRule type="containsText" dxfId="2" priority="3" operator="containsText" text="NO">
      <formula>NOT(ISERROR(SEARCH("NO",F1)))</formula>
    </cfRule>
  </conditionalFormatting>
  <conditionalFormatting sqref="G1:G1048576">
    <cfRule type="containsText" dxfId="1" priority="2" operator="containsText" text="PE">
      <formula>NOT(ISERROR(SEARCH("PE",G1)))</formula>
    </cfRule>
  </conditionalFormatting>
  <conditionalFormatting sqref="H1:H1048576">
    <cfRule type="containsText" dxfId="0" priority="1" operator="containsText" text="TER">
      <formula>NOT(ISERROR(SEARCH("TER",H1)))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9"/>
  <sheetViews>
    <sheetView showGridLines="0" tabSelected="1" topLeftCell="H14" workbookViewId="0">
      <selection activeCell="S30" sqref="S30"/>
    </sheetView>
  </sheetViews>
  <sheetFormatPr defaultRowHeight="15"/>
  <cols>
    <col min="1" max="1" width="8.28515625" customWidth="1"/>
    <col min="2" max="2" width="23.140625" customWidth="1"/>
    <col min="3" max="3" width="17.28515625" customWidth="1"/>
    <col min="4" max="4" width="27.85546875" bestFit="1" customWidth="1"/>
    <col min="5" max="5" width="19.42578125" customWidth="1"/>
    <col min="6" max="6" width="27.85546875" customWidth="1"/>
    <col min="7" max="7" width="21.5703125" customWidth="1"/>
    <col min="8" max="8" width="25.85546875" customWidth="1"/>
    <col min="9" max="9" width="17.140625" customWidth="1"/>
    <col min="10" max="10" width="5.140625" customWidth="1"/>
    <col min="11" max="11" width="24.140625" customWidth="1"/>
    <col min="12" max="12" width="23.140625" customWidth="1"/>
    <col min="13" max="13" width="18.5703125" customWidth="1"/>
  </cols>
  <sheetData>
    <row r="1" spans="1:13" ht="15" customHeight="1">
      <c r="A1" s="109" t="s">
        <v>333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1"/>
    </row>
    <row r="2" spans="1:13" ht="15" customHeight="1" thickBo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1:13" ht="1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16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21" customHeight="1">
      <c r="A5" s="21"/>
      <c r="B5" s="81" t="s">
        <v>336</v>
      </c>
      <c r="C5" s="82"/>
      <c r="D5" s="83" t="s">
        <v>337</v>
      </c>
      <c r="E5" s="82"/>
      <c r="F5" s="83" t="s">
        <v>335</v>
      </c>
      <c r="G5" s="84"/>
      <c r="H5" s="85" t="s">
        <v>306</v>
      </c>
      <c r="I5" s="84"/>
      <c r="J5" s="84"/>
      <c r="K5" s="83" t="s">
        <v>334</v>
      </c>
      <c r="L5" s="23"/>
      <c r="M5" s="20"/>
    </row>
    <row r="6" spans="1:13" ht="22.5" customHeight="1">
      <c r="A6" s="21"/>
      <c r="B6" s="86">
        <v>80</v>
      </c>
      <c r="C6" s="82"/>
      <c r="D6" s="87">
        <v>0.82499999999999996</v>
      </c>
      <c r="E6" s="82"/>
      <c r="F6" s="87">
        <v>0.6875</v>
      </c>
      <c r="G6" s="84"/>
      <c r="H6" s="87">
        <v>0.875</v>
      </c>
      <c r="I6" s="84"/>
      <c r="J6" s="84"/>
      <c r="K6" s="86">
        <v>21</v>
      </c>
      <c r="L6" s="24"/>
      <c r="M6" s="20"/>
    </row>
    <row r="7" spans="1:13" ht="15.75">
      <c r="A7" s="21"/>
      <c r="B7" s="21"/>
      <c r="C7" s="21"/>
      <c r="D7" s="21"/>
      <c r="E7" s="21"/>
    </row>
    <row r="8" spans="1:13" ht="15.75">
      <c r="A8" s="21"/>
      <c r="B8" s="21"/>
      <c r="C8" s="21"/>
      <c r="D8" s="21"/>
      <c r="E8" s="21"/>
    </row>
    <row r="9" spans="1:13" ht="15.75">
      <c r="A9" s="21"/>
      <c r="B9" s="21"/>
      <c r="C9" s="21"/>
      <c r="D9" s="21"/>
      <c r="E9" s="21"/>
    </row>
    <row r="10" spans="1:13" ht="15.75">
      <c r="A10" s="21"/>
      <c r="B10" s="21"/>
      <c r="C10" s="21"/>
      <c r="D10" s="21"/>
      <c r="E10" s="21"/>
    </row>
    <row r="11" spans="1:13" ht="15.75">
      <c r="B11" s="21"/>
    </row>
    <row r="13" spans="1:13" ht="21">
      <c r="B13" s="108" t="s">
        <v>313</v>
      </c>
      <c r="C13" s="108"/>
    </row>
    <row r="14" spans="1:13" ht="18.75" customHeight="1">
      <c r="B14" s="30" t="s">
        <v>314</v>
      </c>
      <c r="C14" s="31" t="s">
        <v>315</v>
      </c>
      <c r="L14" s="108" t="s">
        <v>319</v>
      </c>
      <c r="M14" s="108"/>
    </row>
    <row r="15" spans="1:13">
      <c r="B15" s="33" t="s">
        <v>241</v>
      </c>
      <c r="C15" s="33">
        <f>COUNTA(Sheet2!B4:B83)</f>
        <v>80</v>
      </c>
      <c r="L15" s="31" t="s">
        <v>320</v>
      </c>
      <c r="M15" s="31" t="s">
        <v>315</v>
      </c>
    </row>
    <row r="16" spans="1:13" ht="15.75">
      <c r="B16" s="33" t="s">
        <v>316</v>
      </c>
      <c r="C16" s="33">
        <v>75</v>
      </c>
      <c r="L16" s="32" t="s">
        <v>303</v>
      </c>
      <c r="M16" s="32">
        <v>13</v>
      </c>
    </row>
    <row r="17" spans="1:13" ht="15.75">
      <c r="B17" s="33" t="s">
        <v>243</v>
      </c>
      <c r="C17" s="33">
        <v>60</v>
      </c>
      <c r="L17" s="32" t="s">
        <v>304</v>
      </c>
      <c r="M17" s="32">
        <v>29</v>
      </c>
    </row>
    <row r="18" spans="1:13" ht="15.75">
      <c r="B18" s="33" t="s">
        <v>317</v>
      </c>
      <c r="C18" s="33">
        <v>55</v>
      </c>
      <c r="L18" s="32" t="s">
        <v>305</v>
      </c>
      <c r="M18" s="32">
        <v>38</v>
      </c>
    </row>
    <row r="19" spans="1:13">
      <c r="B19" s="33" t="s">
        <v>247</v>
      </c>
      <c r="C19" s="33">
        <v>24</v>
      </c>
    </row>
    <row r="20" spans="1:13">
      <c r="B20" s="33" t="s">
        <v>318</v>
      </c>
      <c r="C20" s="33">
        <v>21</v>
      </c>
    </row>
    <row r="26" spans="1:13" ht="21">
      <c r="B26" s="115"/>
      <c r="C26" s="115"/>
      <c r="I26" s="115"/>
      <c r="J26" s="115"/>
      <c r="K26" s="115"/>
    </row>
    <row r="28" spans="1:13" ht="15.75">
      <c r="A28" s="21"/>
      <c r="B28" s="21"/>
      <c r="C28" s="21"/>
      <c r="I28" s="21"/>
      <c r="J28" s="21"/>
      <c r="K28" s="21"/>
    </row>
    <row r="29" spans="1:13" ht="15.75">
      <c r="A29" s="21"/>
      <c r="B29" s="21"/>
      <c r="C29" s="21"/>
      <c r="I29" s="21"/>
      <c r="J29" s="21"/>
      <c r="K29" s="21"/>
    </row>
    <row r="30" spans="1:13" ht="21">
      <c r="A30" s="21"/>
      <c r="B30" s="21"/>
      <c r="C30" s="21"/>
      <c r="I30" s="21"/>
      <c r="J30" s="21"/>
      <c r="K30" s="21"/>
      <c r="L30" s="108" t="s">
        <v>328</v>
      </c>
      <c r="M30" s="108"/>
    </row>
    <row r="31" spans="1:13" ht="15.75">
      <c r="A31" s="21"/>
      <c r="B31" s="21"/>
      <c r="C31" s="21"/>
      <c r="L31" s="30" t="s">
        <v>332</v>
      </c>
      <c r="M31" s="31" t="s">
        <v>315</v>
      </c>
    </row>
    <row r="32" spans="1:13" ht="15.75">
      <c r="L32" s="32" t="s">
        <v>329</v>
      </c>
      <c r="M32" s="33">
        <v>17</v>
      </c>
    </row>
    <row r="33" spans="1:13" ht="21">
      <c r="A33" s="21"/>
      <c r="B33" s="108" t="s">
        <v>321</v>
      </c>
      <c r="C33" s="108"/>
      <c r="L33" s="32" t="s">
        <v>330</v>
      </c>
      <c r="M33" s="33">
        <v>11</v>
      </c>
    </row>
    <row r="34" spans="1:13" ht="15.75">
      <c r="A34" s="21"/>
      <c r="B34" s="30" t="s">
        <v>322</v>
      </c>
      <c r="C34" s="31" t="s">
        <v>315</v>
      </c>
      <c r="L34" s="32" t="s">
        <v>102</v>
      </c>
      <c r="M34" s="33">
        <v>17</v>
      </c>
    </row>
    <row r="35" spans="1:13" ht="15.75">
      <c r="A35" s="21"/>
      <c r="B35" s="32" t="s">
        <v>323</v>
      </c>
      <c r="C35" s="33">
        <v>8</v>
      </c>
      <c r="L35" s="32" t="s">
        <v>101</v>
      </c>
      <c r="M35" s="33">
        <v>9</v>
      </c>
    </row>
    <row r="36" spans="1:13" ht="15.75">
      <c r="A36" s="21"/>
      <c r="B36" s="34" t="s">
        <v>324</v>
      </c>
      <c r="C36" s="35">
        <v>18</v>
      </c>
      <c r="L36" s="32" t="s">
        <v>99</v>
      </c>
      <c r="M36" s="33">
        <v>10</v>
      </c>
    </row>
    <row r="37" spans="1:13" ht="15.75">
      <c r="A37" s="21"/>
      <c r="B37" s="32" t="s">
        <v>325</v>
      </c>
      <c r="C37" s="33">
        <v>15</v>
      </c>
      <c r="L37" s="32" t="s">
        <v>331</v>
      </c>
      <c r="M37" s="33">
        <v>15</v>
      </c>
    </row>
    <row r="38" spans="1:13" ht="15.75">
      <c r="A38" s="21"/>
      <c r="B38" s="34" t="s">
        <v>326</v>
      </c>
      <c r="C38" s="35">
        <v>17</v>
      </c>
    </row>
    <row r="39" spans="1:13" ht="15.75">
      <c r="A39" s="21"/>
      <c r="B39" s="32" t="s">
        <v>327</v>
      </c>
      <c r="C39" s="33">
        <v>22</v>
      </c>
    </row>
    <row r="40" spans="1:13" ht="15.75">
      <c r="A40" s="21"/>
      <c r="B40" s="25"/>
      <c r="C40" s="26"/>
    </row>
    <row r="42" spans="1:13" ht="21">
      <c r="A42" s="21"/>
      <c r="B42" s="116"/>
      <c r="C42" s="116"/>
    </row>
    <row r="43" spans="1:13" ht="15.75">
      <c r="A43" s="21"/>
      <c r="B43" s="27"/>
      <c r="C43" s="28"/>
    </row>
    <row r="44" spans="1:13" ht="15.75">
      <c r="A44" s="21"/>
      <c r="B44" s="27"/>
      <c r="C44" s="28"/>
    </row>
    <row r="45" spans="1:13" ht="15.75">
      <c r="A45" s="21"/>
      <c r="B45" s="27"/>
      <c r="C45" s="28"/>
    </row>
    <row r="46" spans="1:13" ht="15.75">
      <c r="A46" s="21"/>
      <c r="B46" s="27"/>
      <c r="C46" s="28"/>
    </row>
    <row r="47" spans="1:13" ht="15.75">
      <c r="A47" s="21"/>
      <c r="B47" s="27"/>
      <c r="C47" s="28"/>
    </row>
    <row r="48" spans="1:13" ht="15.75">
      <c r="A48" s="21"/>
      <c r="B48" s="27"/>
      <c r="C48" s="28"/>
    </row>
    <row r="49" spans="1:3" ht="15.75">
      <c r="A49" s="21"/>
      <c r="B49" s="27"/>
      <c r="C49" s="28"/>
    </row>
  </sheetData>
  <mergeCells count="8">
    <mergeCell ref="L30:M30"/>
    <mergeCell ref="A1:M2"/>
    <mergeCell ref="B13:C13"/>
    <mergeCell ref="B26:C26"/>
    <mergeCell ref="B42:C42"/>
    <mergeCell ref="B33:C33"/>
    <mergeCell ref="I26:K26"/>
    <mergeCell ref="L14:M1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2026-06-12T00:58:07Z</dcterms:modified>
</cp:coreProperties>
</file>